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hosenstueck\"/>
    </mc:Choice>
  </mc:AlternateContent>
  <xr:revisionPtr revIDLastSave="0" documentId="13_ncr:1_{EF44D7BA-0F13-4867-B650-28427977FCBC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9" i="2" l="1"/>
  <c r="S11" i="2" s="1" a="1"/>
  <c r="S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<sst xmlns="http://schemas.openxmlformats.org/spreadsheetml/2006/main" count="10" uniqueCount="9">
  <si>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Brechnung</t>
  </si>
  <si>
    <t>a/b</t>
  </si>
  <si>
    <t>α (°)</t>
  </si>
  <si>
    <t>Zetawerte</t>
  </si>
  <si>
    <t>Hosenstück: ζA – Wert (bezogen auf wA)</t>
  </si>
  <si>
    <t>wA</t>
  </si>
  <si>
    <t>w</t>
  </si>
  <si>
    <t>Verhältnis wA/w</t>
  </si>
  <si>
    <t>Ergebnis ζA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</si>
</sst>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DDEBF7"/>
      </patternFill>
    </fill>
  </fills>
  <borders count="1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/>
      <top style="thin">
        <color indexed="64"/>
      </top>
      <bottom style="medium">
        <color rgb="FFC4C7C5"/>
      </bottom>
      <diagonal/>
    </border>
    <border>
      <left/>
      <right/>
      <top style="thin">
        <color indexed="64"/>
      </top>
      <bottom style="medium">
        <color rgb="FFC4C7C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7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3" fillId="0" borderId="1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 indent="1"/>
    </xf>
    <xf numFmtId="2" fontId="4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5" fillId="3" borderId="15" xfId="0" applyFont="1" applyFill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5" fillId="0" borderId="0" xfId="0" applyFont="1" applyBorder="1" applyAlignment="1">
      <alignment horizontal="right" vertical="center"/>
    </xf>
  </cellXfs>
  <cellStyles count="1"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78154</xdr:colOff>
      <xdr:row>3</xdr:row>
      <xdr:rowOff>58616</xdr:rowOff>
    </xdr:from>
    <xdr:to>
      <xdr:col>2</xdr:col>
      <xdr:colOff>354154</xdr:colOff>
      <xdr:row>12</xdr:row>
      <xdr:rowOff>71189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DBF7870-2091-8D81-7829-37149A21E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54" y="595924"/>
          <a:ext cx="1800000" cy="17417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7FEA7D-9C64-4026-8842-14BF671B0E18}" name="Tabelle3" displayName="Tabelle3" ref="D4:D9" totalsRowShown="0" headerRowDxfId="4" dataDxfId="2" headerRowBorderDxfId="3" totalsRowBorderDxfId="1">
  <autoFilter ref="D4:D9" xr:uid="{BD7FEA7D-9C64-4026-8842-14BF671B0E18}"/>
  <tableColumns count="1">
    <tableColumn id="1" xr3:uid="{A8C34844-F479-442C-A3FF-AC17584FF880}" name="α (°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3"/>
  <sheetViews>
    <sheetView tabSelected="1" zoomScale="65" zoomScaleNormal="115" workbookViewId="0">
      <selection activeCell="D20" sqref="D20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5" customWidth="1"/>
    <col min="20" max="16384" width="10.90625" style="1"/>
  </cols>
  <sheetData>
    <row r="1" spans="1:19" x14ac:dyDescent="0.3">
      <c r="A1" s="6" t="s">
        <v>3</v>
      </c>
    </row>
    <row r="3" spans="1:19" ht="14.5" thickBot="1" x14ac:dyDescent="0.35">
      <c r="A3" s="7" t="s">
        <v>4</v>
      </c>
      <c r="B3" s="8"/>
      <c r="C3" s="8"/>
      <c r="D3" s="8"/>
      <c r="E3" s="16" t="s">
        <v>1</v>
      </c>
      <c r="F3" s="17"/>
      <c r="G3" s="17"/>
      <c r="H3" s="17"/>
      <c r="I3" s="17"/>
      <c r="J3" s="17"/>
      <c r="K3" s="19"/>
      <c r="L3" s="19"/>
      <c r="M3" s="15"/>
      <c r="N3" s="15"/>
      <c r="O3" s="15"/>
      <c r="P3" s="8"/>
      <c r="Q3" s="8"/>
      <c r="R3" s="8"/>
      <c r="S3" s="9"/>
    </row>
    <row r="4" spans="1:19" ht="15" thickBot="1" x14ac:dyDescent="0.35">
      <c r="A4" s="10"/>
      <c r="D4" s="4" t="s">
        <v>2</v>
      </c>
      <c r="E4" s="2">
        <v>0.5</v>
      </c>
      <c r="F4" s="18">
        <v>0.6</v>
      </c>
      <c r="G4" s="18">
        <v>0.7</v>
      </c>
      <c r="H4" s="18">
        <v>0.8</v>
      </c>
      <c r="I4" s="18">
        <v>0.9</v>
      </c>
      <c r="J4" s="18">
        <v>1</v>
      </c>
      <c r="K4" s="20"/>
      <c r="L4" s="20"/>
      <c r="R4" s="1" t="s">
        <v>0</v>
      </c>
      <c r="S4" s="11"/>
    </row>
    <row r="5" spans="1:19" ht="15" thickBot="1" x14ac:dyDescent="0.35">
      <c r="A5" s="10"/>
      <c r="D5" s="3">
        <v>5</v>
      </c>
      <c r="E5" s="22">
        <v>1.01</v>
      </c>
      <c r="F5" s="22">
        <v>0.45</v>
      </c>
      <c r="G5" s="22">
        <v>0.19</v>
      </c>
      <c r="H5" s="22">
        <v>7.0000000000000007E-2</v>
      </c>
      <c r="I5" s="22">
        <v>0.02</v>
      </c>
      <c r="J5" s="22">
        <v>0</v>
      </c>
      <c r="K5" s="21"/>
      <c r="L5" s="21"/>
      <c r="R5" s="23" t="s">
        <v>5</v>
      </c>
      <c r="S5" s="25">
        <v>2</v>
      </c>
    </row>
    <row r="6" spans="1:19" ht="15" thickBot="1" x14ac:dyDescent="0.35">
      <c r="A6" s="10"/>
      <c r="D6" s="3">
        <v>15</v>
      </c>
      <c r="E6" s="22">
        <v>1.1299999999999999</v>
      </c>
      <c r="F6" s="22">
        <v>0.54</v>
      </c>
      <c r="G6" s="22">
        <v>0.25</v>
      </c>
      <c r="H6" s="22">
        <v>0.11</v>
      </c>
      <c r="I6" s="22">
        <v>0.05</v>
      </c>
      <c r="J6" s="22">
        <v>0.03</v>
      </c>
      <c r="K6" s="21"/>
      <c r="L6" s="21"/>
      <c r="R6" s="23" t="s">
        <v>6</v>
      </c>
      <c r="S6" s="25">
        <v>2.5</v>
      </c>
    </row>
    <row r="7" spans="1:19" ht="15" thickBot="1" x14ac:dyDescent="0.35">
      <c r="A7" s="10"/>
      <c r="D7" s="3">
        <v>30</v>
      </c>
      <c r="E7" s="22">
        <v>1.53</v>
      </c>
      <c r="F7" s="22">
        <v>0.81</v>
      </c>
      <c r="G7" s="22">
        <v>0.46</v>
      </c>
      <c r="H7" s="22">
        <v>0.27</v>
      </c>
      <c r="I7" s="22">
        <v>0.18</v>
      </c>
      <c r="J7" s="22">
        <v>0.13</v>
      </c>
      <c r="K7" s="21"/>
      <c r="L7" s="21"/>
      <c r="R7" s="23" t="s">
        <v>2</v>
      </c>
      <c r="S7" s="25">
        <v>45</v>
      </c>
    </row>
    <row r="8" spans="1:19" ht="15" thickBot="1" x14ac:dyDescent="0.4">
      <c r="A8" s="10"/>
      <c r="D8" s="3">
        <v>45</v>
      </c>
      <c r="E8" s="22">
        <v>2.2000000000000002</v>
      </c>
      <c r="F8" s="22">
        <v>1.23</v>
      </c>
      <c r="G8" s="22">
        <v>0.8</v>
      </c>
      <c r="H8" s="22">
        <v>0.53</v>
      </c>
      <c r="I8" s="22">
        <v>0.38</v>
      </c>
      <c r="J8" s="22">
        <v>0.3</v>
      </c>
      <c r="K8" s="21"/>
      <c r="L8" s="21"/>
      <c r="R8" s="24"/>
      <c r="S8"/>
    </row>
    <row r="9" spans="1:19" ht="15" thickBot="1" x14ac:dyDescent="0.35">
      <c r="A9" s="10"/>
      <c r="D9" s="3">
        <v>60</v>
      </c>
      <c r="E9" s="22">
        <v>3.13</v>
      </c>
      <c r="F9" s="22">
        <v>1.93</v>
      </c>
      <c r="G9" s="22">
        <v>1.27</v>
      </c>
      <c r="H9" s="22">
        <v>0.9</v>
      </c>
      <c r="I9" s="22">
        <v>0.67</v>
      </c>
      <c r="J9" s="22">
        <v>0.53</v>
      </c>
      <c r="K9" s="21"/>
      <c r="L9" s="21"/>
      <c r="R9" s="23" t="s">
        <v>7</v>
      </c>
      <c r="S9" s="26">
        <f>S5/S6</f>
        <v>0.8</v>
      </c>
    </row>
    <row r="10" spans="1:19" ht="14.5" x14ac:dyDescent="0.35">
      <c r="A10" s="10"/>
      <c r="R10" s="24"/>
      <c r="S10" s="11"/>
    </row>
    <row r="11" spans="1:19" ht="14.5" x14ac:dyDescent="0.3">
      <c r="A11" s="10"/>
      <c r="R11" s="23" t="s">
        <v>8</v>
      </c>
      <c r="S11" s="27" cm="1">
        <f t="array" ref="S11">_xlfn.XLOOKUP(S7, D5:D9, _xlfn.XLOOKUP(S9, E4:J4, E5:J9, , -1))</f>
        <v>0.53</v>
      </c>
    </row>
    <row r="12" spans="1:19" ht="14.5" x14ac:dyDescent="0.3">
      <c r="A12" s="10"/>
      <c r="R12" s="28"/>
      <c r="S12" s="27"/>
    </row>
    <row r="13" spans="1:19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</row>
  </sheetData>
  <mergeCells count="1">
    <mergeCell ref="E3:J3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2026-07-06T17:58:07Z</dcterms:modified>
  <cp:contentStatus>Vorlage</cp:contentStatus>
</cp:coreProperties>
</file>