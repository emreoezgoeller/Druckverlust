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kanal_bogen_winkel\"/>
    </mc:Choice>
  </mc:AlternateContent>
  <xr:revisionPtr revIDLastSave="0" documentId="13_ncr:1_{0EBF6BAA-B838-4C12-A432-2F2DD8BACBF9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8" i="2" l="1" a="1"/>
  <c r="S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<sst xmlns="http://schemas.openxmlformats.org/spreadsheetml/2006/main" count="9" uniqueCount="8">
  <si>
    <t>Brechnung</t>
  </si>
  <si>
    <t>Summe</t>
  </si>
  <si>
    <t>b</t>
  </si>
  <si>
    <t>a</t>
  </si>
  <si>
    <t>a/b</t>
  </si>
  <si>
    <t>Kanal-Bogen mit Winkel</t>
  </si>
  <si>
    <t>α (°)</t>
  </si>
  <si>
    <t>Zetawerte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</si>
</sst>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/>
      <right/>
      <top style="medium">
        <color rgb="FFC4C7C5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4C7C5"/>
      </left>
      <right/>
      <top style="thin">
        <color indexed="64"/>
      </top>
      <bottom style="medium">
        <color rgb="FFC4C7C5"/>
      </bottom>
      <diagonal/>
    </border>
    <border>
      <left/>
      <right/>
      <top style="thin">
        <color indexed="64"/>
      </top>
      <bottom style="medium">
        <color rgb="FFC4C7C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2" fillId="0" borderId="8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1">
    <cellStyle name="Standard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3</xdr:row>
      <xdr:rowOff>25400</xdr:rowOff>
    </xdr:from>
    <xdr:to>
      <xdr:col>1</xdr:col>
      <xdr:colOff>727745</xdr:colOff>
      <xdr:row>13</xdr:row>
      <xdr:rowOff>2514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7828D387-39E0-03AD-8D23-E6B788056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5822950"/>
          <a:ext cx="1210345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7FEA7D-9C64-4026-8842-14BF671B0E18}" name="Tabelle3" displayName="Tabelle3" ref="D4:D10" totalsRowShown="0" headerRowDxfId="4" dataDxfId="2" headerRowBorderDxfId="3" totalsRowBorderDxfId="1">
  <autoFilter ref="D4:D10" xr:uid="{BD7FEA7D-9C64-4026-8842-14BF671B0E18}"/>
  <tableColumns count="1">
    <tableColumn id="1" xr3:uid="{A8C34844-F479-442C-A3FF-AC17584FF880}" name="α (°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13"/>
  <sheetViews>
    <sheetView tabSelected="1" zoomScale="65" zoomScaleNormal="115" workbookViewId="0">
      <selection activeCell="S8" sqref="S8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7" customWidth="1"/>
    <col min="20" max="16384" width="10.90625" style="1"/>
  </cols>
  <sheetData>
    <row r="1" spans="1:19" x14ac:dyDescent="0.3">
      <c r="A1" s="8" t="s">
        <v>7</v>
      </c>
    </row>
    <row r="3" spans="1:19" ht="14.5" thickBot="1" x14ac:dyDescent="0.35">
      <c r="A3" s="9" t="s">
        <v>5</v>
      </c>
      <c r="B3" s="10"/>
      <c r="C3" s="10"/>
      <c r="D3" s="10"/>
      <c r="E3" s="20" t="s">
        <v>4</v>
      </c>
      <c r="F3" s="21"/>
      <c r="G3" s="21"/>
      <c r="H3" s="21"/>
      <c r="I3" s="21"/>
      <c r="J3" s="21"/>
      <c r="K3" s="21"/>
      <c r="L3" s="21"/>
      <c r="M3" s="19"/>
      <c r="N3" s="19"/>
      <c r="O3" s="19"/>
      <c r="P3" s="10"/>
      <c r="Q3" s="10"/>
      <c r="R3" s="10"/>
      <c r="S3" s="11"/>
    </row>
    <row r="4" spans="1:19" ht="14.5" thickBot="1" x14ac:dyDescent="0.35">
      <c r="A4" s="12"/>
      <c r="D4" s="5" t="s">
        <v>6</v>
      </c>
      <c r="E4" s="2">
        <v>0.25</v>
      </c>
      <c r="F4" s="2">
        <v>0.5</v>
      </c>
      <c r="G4" s="2">
        <v>0.75</v>
      </c>
      <c r="H4" s="2">
        <v>1</v>
      </c>
      <c r="I4" s="2">
        <v>1.5</v>
      </c>
      <c r="J4" s="2">
        <v>2</v>
      </c>
      <c r="K4" s="2">
        <v>3</v>
      </c>
      <c r="L4" s="2">
        <v>4</v>
      </c>
      <c r="R4" s="1" t="s">
        <v>0</v>
      </c>
      <c r="S4" s="13"/>
    </row>
    <row r="5" spans="1:19" ht="14.5" thickBot="1" x14ac:dyDescent="0.35">
      <c r="A5" s="12"/>
      <c r="D5" s="4">
        <v>20</v>
      </c>
      <c r="E5" s="3">
        <v>0.14000000000000001</v>
      </c>
      <c r="F5" s="3">
        <v>0.14000000000000001</v>
      </c>
      <c r="G5" s="3">
        <v>0.14000000000000001</v>
      </c>
      <c r="H5" s="3">
        <v>0.13</v>
      </c>
      <c r="I5" s="3">
        <v>0.12</v>
      </c>
      <c r="J5" s="3">
        <v>0.12</v>
      </c>
      <c r="K5" s="3">
        <v>0.11</v>
      </c>
      <c r="L5" s="3">
        <v>0.1</v>
      </c>
      <c r="R5" s="1" t="s">
        <v>6</v>
      </c>
      <c r="S5" s="14">
        <v>20</v>
      </c>
    </row>
    <row r="6" spans="1:19" ht="14.5" thickBot="1" x14ac:dyDescent="0.35">
      <c r="A6" s="12"/>
      <c r="D6" s="4">
        <v>30</v>
      </c>
      <c r="E6" s="3">
        <v>0.18</v>
      </c>
      <c r="F6" s="3">
        <v>0.17</v>
      </c>
      <c r="G6" s="3">
        <v>0.17</v>
      </c>
      <c r="H6" s="3">
        <v>0.16</v>
      </c>
      <c r="I6" s="3">
        <v>0.15</v>
      </c>
      <c r="J6" s="3">
        <v>0.14000000000000001</v>
      </c>
      <c r="K6" s="3">
        <v>0.13</v>
      </c>
      <c r="L6" s="3">
        <v>0.12</v>
      </c>
      <c r="R6" s="1" t="s">
        <v>3</v>
      </c>
      <c r="S6" s="14">
        <v>300</v>
      </c>
    </row>
    <row r="7" spans="1:19" ht="14.5" thickBot="1" x14ac:dyDescent="0.35">
      <c r="A7" s="12"/>
      <c r="D7" s="4">
        <v>45</v>
      </c>
      <c r="E7" s="3">
        <v>0.35</v>
      </c>
      <c r="F7" s="3">
        <v>0.34</v>
      </c>
      <c r="G7" s="3">
        <v>0.33</v>
      </c>
      <c r="H7" s="3">
        <v>0.32</v>
      </c>
      <c r="I7" s="3">
        <v>0.3</v>
      </c>
      <c r="J7" s="3">
        <v>0.28999999999999998</v>
      </c>
      <c r="K7" s="3">
        <v>0.27</v>
      </c>
      <c r="L7" s="3">
        <v>0.25</v>
      </c>
      <c r="R7" s="1" t="s">
        <v>2</v>
      </c>
      <c r="S7" s="14">
        <v>400</v>
      </c>
    </row>
    <row r="8" spans="1:19" ht="14.5" thickBot="1" x14ac:dyDescent="0.35">
      <c r="A8" s="12"/>
      <c r="D8" s="4">
        <v>60</v>
      </c>
      <c r="E8" s="3">
        <v>0.62</v>
      </c>
      <c r="F8" s="3">
        <v>0.6</v>
      </c>
      <c r="G8" s="3">
        <v>0.57999999999999996</v>
      </c>
      <c r="H8" s="3">
        <v>0.56000000000000005</v>
      </c>
      <c r="I8" s="3">
        <v>0.53</v>
      </c>
      <c r="J8" s="3">
        <v>0.5</v>
      </c>
      <c r="K8" s="3">
        <v>0.46</v>
      </c>
      <c r="L8" s="3">
        <v>0.44</v>
      </c>
      <c r="R8" s="1" t="s">
        <v>1</v>
      </c>
      <c r="S8" s="15" cm="1">
        <f t="array" ref="S8">IFERROR(_xlfn.XLOOKUP(S5, D5:D10, _xlfn.XLOOKUP(S6/S7, E4:L4, E5:L10, 0, 1), 0, 1), 0)</f>
        <v>0.14000000000000001</v>
      </c>
    </row>
    <row r="9" spans="1:19" ht="14.5" thickBot="1" x14ac:dyDescent="0.35">
      <c r="A9" s="12"/>
      <c r="D9" s="4">
        <v>75</v>
      </c>
      <c r="E9" s="3">
        <v>0.89</v>
      </c>
      <c r="F9" s="3">
        <v>0.87</v>
      </c>
      <c r="G9" s="3">
        <v>0.84</v>
      </c>
      <c r="H9" s="3">
        <v>0.81</v>
      </c>
      <c r="I9" s="3">
        <v>0.77</v>
      </c>
      <c r="J9" s="3">
        <v>0.73</v>
      </c>
      <c r="K9" s="3">
        <v>0.67</v>
      </c>
      <c r="L9" s="3">
        <v>0.63</v>
      </c>
      <c r="S9" s="13"/>
    </row>
    <row r="10" spans="1:19" ht="14.5" thickBot="1" x14ac:dyDescent="0.35">
      <c r="A10" s="12"/>
      <c r="D10" s="6">
        <v>90</v>
      </c>
      <c r="E10" s="3">
        <v>1.32</v>
      </c>
      <c r="F10" s="3">
        <v>1.28</v>
      </c>
      <c r="G10" s="3">
        <v>1.25</v>
      </c>
      <c r="H10" s="3">
        <v>1.2</v>
      </c>
      <c r="I10" s="3">
        <v>1.1399999999999999</v>
      </c>
      <c r="J10" s="3">
        <v>1.08</v>
      </c>
      <c r="K10" s="3">
        <v>1</v>
      </c>
      <c r="L10" s="3">
        <v>0.94</v>
      </c>
      <c r="S10" s="13"/>
    </row>
    <row r="11" spans="1:19" x14ac:dyDescent="0.3">
      <c r="A11" s="12"/>
      <c r="S11" s="13"/>
    </row>
    <row r="12" spans="1:19" x14ac:dyDescent="0.3">
      <c r="A12" s="12"/>
      <c r="S12" s="13"/>
    </row>
    <row r="13" spans="1:19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8"/>
    </row>
  </sheetData>
  <mergeCells count="1">
    <mergeCell ref="E3:L3"/>
  </mergeCells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2026-07-03T20:43:04Z</dcterms:modified>
  <cp:contentStatus>Vorlage</cp:contentStatus>
</cp:coreProperties>
</file>