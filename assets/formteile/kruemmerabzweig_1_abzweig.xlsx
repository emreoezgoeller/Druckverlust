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uemmerabzweig_1_abzweig\"/>
    </mc:Choice>
  </mc:AlternateContent>
  <xr:revisionPtr revIDLastSave="0" documentId="13_ncr:1_{25902BD4-E28C-48A7-8094-BE0F2B401B9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abzweig_Komple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" i="1" l="1"/>
  <c r="W14" i="1" s="1" a="1"/>
  <c r="W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<sst xmlns="http://schemas.openxmlformats.org/spreadsheetml/2006/main" count="14" uniqueCount="14">
  <si>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Krümmerabzweig: Verlustbeiwerte (Vollständige Geometrie-Prüfung)</t>
  </si>
  <si>
    <t>Abzweig: ζA – Wert (bezogen auf wA)</t>
  </si>
  <si>
    <t>Verhältnis wA/w</t>
  </si>
  <si>
    <t>Eingabe &amp; Berechnung</t>
  </si>
  <si>
    <t>AA/AD</t>
  </si>
  <si>
    <t>AD/A</t>
  </si>
  <si>
    <t>AA/A</t>
  </si>
  <si>
    <t>Geschwindigkeit w</t>
  </si>
  <si>
    <t>Geschwindigkeit wA</t>
  </si>
  <si>
    <t>Eingabe AA/AD</t>
  </si>
  <si>
    <t>Eingabe AD/A</t>
  </si>
  <si>
    <t>Eingabe AA/A</t>
  </si>
  <si>
    <t>Berechnetes wA/w</t>
  </si>
  <si>
    <t>Ergebnis ζA (Abzweig)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</si>
</sst>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5"/>
  <sheetViews>
    <sheetView tabSelected="1" workbookViewId="0">
      <selection activeCell="W14" sqref="W14"/>
    </sheetView>
  </sheetViews>
  <sheetFormatPr baseColWidth="10" defaultColWidth="8.7265625" defaultRowHeight="14.5" x14ac:dyDescent="0.35"/>
  <cols>
    <col min="1" max="1" width="3" customWidth="1"/>
    <col min="2" max="4" width="8" customWidth="1"/>
    <col min="5" max="19" width="6" customWidth="1"/>
    <col min="20" max="20" width="4" customWidth="1"/>
    <col min="21" max="21" width="24" customWidth="1"/>
    <col min="22" max="22" width="3" customWidth="1"/>
    <col min="23" max="23" width="12" customWidth="1"/>
  </cols>
  <sheetData>
    <row r="2" spans="2:23" ht="18.5" x14ac:dyDescent="0.45">
      <c r="B2" s="1" t="s">
        <v>0</v>
      </c>
    </row>
    <row r="4" spans="2:23" x14ac:dyDescent="0.35">
      <c r="B4" s="2" t="s">
        <v>1</v>
      </c>
      <c r="E4" s="12" t="s">
        <v>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U4" s="10" t="s">
        <v>3</v>
      </c>
      <c r="V4" s="11"/>
      <c r="W4" s="11"/>
    </row>
    <row r="5" spans="2:23" x14ac:dyDescent="0.35">
      <c r="B5" s="3" t="s">
        <v>4</v>
      </c>
      <c r="C5" s="3" t="s">
        <v>5</v>
      </c>
      <c r="D5" s="3" t="s">
        <v>6</v>
      </c>
      <c r="E5" s="3">
        <v>0.1</v>
      </c>
      <c r="F5" s="3">
        <v>0.2</v>
      </c>
      <c r="G5" s="3">
        <v>0.3</v>
      </c>
      <c r="H5" s="3">
        <v>0.4</v>
      </c>
      <c r="I5" s="3">
        <v>0.5</v>
      </c>
      <c r="J5" s="3">
        <v>0.6</v>
      </c>
      <c r="K5" s="3">
        <v>0.7</v>
      </c>
      <c r="L5" s="3">
        <v>0.8</v>
      </c>
      <c r="M5" s="3">
        <v>0.9</v>
      </c>
      <c r="N5" s="3">
        <v>1</v>
      </c>
      <c r="O5" s="3">
        <v>1.2</v>
      </c>
      <c r="P5" s="3">
        <v>1.4</v>
      </c>
      <c r="Q5" s="3">
        <v>1.6</v>
      </c>
      <c r="R5" s="3">
        <v>1.8</v>
      </c>
      <c r="S5" s="3">
        <v>2</v>
      </c>
      <c r="U5" s="4" t="s">
        <v>7</v>
      </c>
      <c r="W5" s="5">
        <v>2</v>
      </c>
    </row>
    <row r="6" spans="2:23" x14ac:dyDescent="0.35">
      <c r="B6" s="6">
        <v>0.5</v>
      </c>
      <c r="C6" s="6">
        <v>1</v>
      </c>
      <c r="D6" s="6">
        <v>0.5</v>
      </c>
      <c r="E6" s="7">
        <v>74.8</v>
      </c>
      <c r="F6" s="7">
        <v>15.9</v>
      </c>
      <c r="G6" s="7">
        <v>6</v>
      </c>
      <c r="H6" s="7">
        <v>2.9</v>
      </c>
      <c r="I6" s="7">
        <v>1.7</v>
      </c>
      <c r="J6" s="7">
        <v>1.1000000000000001</v>
      </c>
      <c r="K6" s="7">
        <v>0.8</v>
      </c>
      <c r="L6" s="7">
        <v>0.6</v>
      </c>
      <c r="M6" s="7">
        <v>0.5</v>
      </c>
      <c r="N6" s="7">
        <v>0.4</v>
      </c>
      <c r="O6" s="7">
        <v>0.4</v>
      </c>
      <c r="P6" s="7">
        <v>0.4</v>
      </c>
      <c r="Q6" s="7">
        <v>0.4</v>
      </c>
      <c r="R6" s="7">
        <v>0.5</v>
      </c>
      <c r="S6" s="7">
        <v>0.5</v>
      </c>
      <c r="U6" s="19" t="s">
        <v>8</v>
      </c>
      <c r="W6" s="20">
        <v>1.2</v>
      </c>
    </row>
    <row r="7" spans="2:23" x14ac:dyDescent="0.35">
      <c r="B7" s="6">
        <v>1</v>
      </c>
      <c r="C7" s="6">
        <v>0.5</v>
      </c>
      <c r="D7" s="6">
        <v>0.5</v>
      </c>
      <c r="E7" s="7">
        <v>51.3</v>
      </c>
      <c r="F7" s="7">
        <v>11.3</v>
      </c>
      <c r="G7" s="7">
        <v>4.5</v>
      </c>
      <c r="H7" s="7">
        <v>2.4</v>
      </c>
      <c r="I7" s="7">
        <v>1.4</v>
      </c>
      <c r="J7" s="7">
        <v>1</v>
      </c>
      <c r="K7" s="7">
        <v>0.8</v>
      </c>
      <c r="L7" s="7">
        <v>0.6</v>
      </c>
      <c r="M7" s="7">
        <v>0.6</v>
      </c>
      <c r="N7" s="7">
        <v>0.5</v>
      </c>
      <c r="O7" s="7">
        <v>0.5</v>
      </c>
      <c r="P7" s="7">
        <v>0.5</v>
      </c>
      <c r="Q7" s="7">
        <v>0.5</v>
      </c>
      <c r="R7" s="7">
        <v>0.5</v>
      </c>
      <c r="S7" s="7">
        <v>0.5</v>
      </c>
      <c r="U7" s="23"/>
      <c r="V7" s="24"/>
      <c r="W7" s="25"/>
    </row>
    <row r="8" spans="2:23" x14ac:dyDescent="0.35">
      <c r="B8" s="6">
        <v>1</v>
      </c>
      <c r="C8" s="6">
        <v>1</v>
      </c>
      <c r="D8" s="6">
        <v>1</v>
      </c>
      <c r="E8" s="7">
        <v>67.8</v>
      </c>
      <c r="F8" s="7">
        <v>13.6</v>
      </c>
      <c r="G8" s="7">
        <v>4.9000000000000004</v>
      </c>
      <c r="H8" s="7">
        <v>2.2000000000000002</v>
      </c>
      <c r="I8" s="7">
        <v>1.2</v>
      </c>
      <c r="J8" s="7">
        <v>0.8</v>
      </c>
      <c r="K8" s="7">
        <v>0.6</v>
      </c>
      <c r="L8" s="7">
        <v>0.5</v>
      </c>
      <c r="M8" s="7">
        <v>0.5</v>
      </c>
      <c r="N8" s="7">
        <v>0.5</v>
      </c>
      <c r="O8" s="7">
        <v>0.5</v>
      </c>
      <c r="P8" s="7">
        <v>0.6</v>
      </c>
      <c r="Q8" s="7">
        <v>0.6</v>
      </c>
      <c r="R8" s="7">
        <v>0.7</v>
      </c>
      <c r="S8" s="7">
        <v>0.7</v>
      </c>
      <c r="U8" s="21" t="s">
        <v>9</v>
      </c>
      <c r="W8" s="22">
        <v>1</v>
      </c>
    </row>
    <row r="9" spans="2:23" x14ac:dyDescent="0.35">
      <c r="B9" s="6">
        <v>2</v>
      </c>
      <c r="C9" s="6">
        <v>0.5</v>
      </c>
      <c r="D9" s="6">
        <v>1</v>
      </c>
      <c r="E9" s="7">
        <v>62.8</v>
      </c>
      <c r="F9" s="7">
        <v>12.4</v>
      </c>
      <c r="G9" s="7">
        <v>4.3</v>
      </c>
      <c r="H9" s="7">
        <v>1.9</v>
      </c>
      <c r="I9" s="7">
        <v>1</v>
      </c>
      <c r="J9" s="7">
        <v>0.5</v>
      </c>
      <c r="K9" s="7">
        <v>0.4</v>
      </c>
      <c r="L9" s="7">
        <v>0.3</v>
      </c>
      <c r="M9" s="7">
        <v>0.2</v>
      </c>
      <c r="N9" s="7">
        <v>0.2</v>
      </c>
      <c r="O9" s="7">
        <v>0.3</v>
      </c>
      <c r="P9" s="7">
        <v>0.3</v>
      </c>
      <c r="Q9" s="7">
        <v>0.4</v>
      </c>
      <c r="R9" s="7">
        <v>0.4</v>
      </c>
      <c r="S9" s="7">
        <v>0.5</v>
      </c>
      <c r="U9" s="4" t="s">
        <v>10</v>
      </c>
      <c r="W9" s="5">
        <v>0.5</v>
      </c>
    </row>
    <row r="10" spans="2:23" x14ac:dyDescent="0.35">
      <c r="U10" s="4" t="s">
        <v>11</v>
      </c>
      <c r="W10" s="5">
        <v>0.5</v>
      </c>
    </row>
    <row r="12" spans="2:23" x14ac:dyDescent="0.35">
      <c r="B12" s="13"/>
      <c r="C12" s="14"/>
      <c r="D12" s="14"/>
      <c r="E12" s="15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U12" s="4" t="s">
        <v>12</v>
      </c>
      <c r="W12" s="8">
        <f>W6/W5</f>
        <v>0.6</v>
      </c>
    </row>
    <row r="13" spans="2:23" x14ac:dyDescent="0.35">
      <c r="B13" s="17"/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2:23" x14ac:dyDescent="0.35">
      <c r="B14" s="17"/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U14" s="4" t="s">
        <v>13</v>
      </c>
      <c r="W14" s="9" cm="1">
        <f t="array" ref="W14">_xlfn.XLOOKUP(W8&amp;"|"&amp;W9&amp;"|"&amp;W10, B6:B9&amp;"|"&amp;C6:C9&amp;"|"&amp;D6:D9, _xlfn.XLOOKUP(W12, E5:S5, E6:S9, , -1), , 0)</f>
        <v>1</v>
      </c>
    </row>
    <row r="15" spans="2:23" x14ac:dyDescent="0.35"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</row>
  </sheetData>
  <mergeCells count="3">
    <mergeCell ref="U4:W4"/>
    <mergeCell ref="E12:S12"/>
    <mergeCell ref="E4:S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Kruemmerabzweig_Komplett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2026-07-20T16:33:26Z</dcterms:created>
  <dcterms:modified xsi:type="dcterms:W3CDTF">2026-07-20T18:55:46Z</dcterms:modified>
</cp:coreProperties>
</file>