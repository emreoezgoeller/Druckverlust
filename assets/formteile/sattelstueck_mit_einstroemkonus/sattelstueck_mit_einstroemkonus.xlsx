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stutzen\"/>
    </mc:Choice>
  </mc:AlternateContent>
  <xr:revisionPtr revIDLastSave="0" documentId="8_{A306F5C9-CAF8-46B2-8695-ACDD362D077F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Widerstand_Diagramm_Wert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4" i="1" s="1"/>
  <c r="H10" i="1"/>
  <c r="H13" i="1" s="1"/>
  <c r="H8" i="1"/>
</calcChain>
</file>

<file path=xl/sharedStrings.xml><?xml version="1.0" encoding="utf-8"?>
<sst xmlns="http://schemas.openxmlformats.org/spreadsheetml/2006/main" count="12" uniqueCount="12">
  <si>
    <t>Abzweig: Widerstandsbeiwert ζ (bezogen auf w)</t>
  </si>
  <si>
    <t>Geschwindigkeitsverhältnis wA/w</t>
  </si>
  <si>
    <t>Kurve a) h ≈ dA/2</t>
  </si>
  <si>
    <t>Kurve b) h ≈ 2dA</t>
  </si>
  <si>
    <t>Dynamische Kurven-Abfrage</t>
  </si>
  <si>
    <t>Eingabe wA</t>
  </si>
  <si>
    <t>Eingabe w</t>
  </si>
  <si>
    <t>Berechnetes wA/w</t>
  </si>
  <si>
    <t>Ergebnis ζ (Kurve a)</t>
  </si>
  <si>
    <t>Ergebnis ζ (Kurve b)</t>
  </si>
  <si>
    <t>Umgerechnet ζA (Kurve a)</t>
  </si>
  <si>
    <t>Umgerechnet ζA (Kurve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</si>
</sst>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A6ACAF"/>
        <bgColor rgb="FFA6ACAF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409485</xdr:colOff>
      <xdr:row>15</xdr:row>
      <xdr:rowOff>148365</xdr:rowOff>
    </xdr:from>
    <xdr:to>
      <xdr:col>7</xdr:col>
      <xdr:colOff>899068</xdr:colOff>
      <xdr:row>35</xdr:row>
      <xdr:rowOff>117251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CD8B32F-FCC5-0149-E23E-2BD51263B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420" y="2961356"/>
          <a:ext cx="3385657" cy="3648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tabSelected="1" zoomScale="107" workbookViewId="0">
      <selection activeCell="K17" sqref="K17"/>
    </sheetView>
  </sheetViews>
  <sheetFormatPr baseColWidth="10" defaultColWidth="8.7265625" defaultRowHeight="14.5" x14ac:dyDescent="0.35"/>
  <cols>
    <col min="2" max="2" width="28" customWidth="1"/>
    <col min="3" max="4" width="18" customWidth="1"/>
    <col min="6" max="6" width="24" customWidth="1"/>
    <col min="8" max="8" width="14" customWidth="1"/>
  </cols>
  <sheetData>
    <row r="2" spans="2:8" ht="18.5" x14ac:dyDescent="0.45">
      <c r="B2" s="1" t="s">
        <v>0</v>
      </c>
    </row>
    <row r="4" spans="2:8" x14ac:dyDescent="0.35">
      <c r="B4" s="2" t="s">
        <v>1</v>
      </c>
      <c r="C4" s="2" t="s">
        <v>2</v>
      </c>
      <c r="D4" s="2" t="s">
        <v>3</v>
      </c>
      <c r="F4" s="9" t="s">
        <v>4</v>
      </c>
      <c r="G4" s="10"/>
      <c r="H4" s="10"/>
    </row>
    <row r="5" spans="2:8" x14ac:dyDescent="0.35">
      <c r="B5" s="3">
        <v>0.05</v>
      </c>
      <c r="C5" s="3">
        <v>0.8</v>
      </c>
      <c r="D5" s="3">
        <v>0.8</v>
      </c>
      <c r="F5" s="4" t="s">
        <v>5</v>
      </c>
      <c r="H5" s="5">
        <v>1.2</v>
      </c>
    </row>
    <row r="6" spans="2:8" x14ac:dyDescent="0.35">
      <c r="B6" s="3">
        <v>0.1</v>
      </c>
      <c r="C6" s="3">
        <v>0.8</v>
      </c>
      <c r="D6" s="3">
        <v>0.8</v>
      </c>
      <c r="F6" s="4" t="s">
        <v>6</v>
      </c>
      <c r="H6" s="5">
        <v>1</v>
      </c>
    </row>
    <row r="7" spans="2:8" x14ac:dyDescent="0.35">
      <c r="B7" s="3">
        <v>0.15</v>
      </c>
      <c r="C7" s="3">
        <v>0.8</v>
      </c>
      <c r="D7" s="3">
        <v>0.8</v>
      </c>
    </row>
    <row r="8" spans="2:8" x14ac:dyDescent="0.35">
      <c r="B8" s="3">
        <v>0.2</v>
      </c>
      <c r="C8" s="3">
        <v>0.8</v>
      </c>
      <c r="D8" s="3">
        <v>0.8</v>
      </c>
      <c r="F8" s="4" t="s">
        <v>7</v>
      </c>
      <c r="H8" s="6">
        <f>H5/H6</f>
        <v>1.2</v>
      </c>
    </row>
    <row r="9" spans="2:8" x14ac:dyDescent="0.35">
      <c r="B9" s="3">
        <v>0.3</v>
      </c>
      <c r="C9" s="3">
        <v>0.8</v>
      </c>
      <c r="D9" s="3">
        <v>0.77039662372530981</v>
      </c>
    </row>
    <row r="10" spans="2:8" x14ac:dyDescent="0.35">
      <c r="B10" s="3">
        <v>0.4</v>
      </c>
      <c r="C10" s="3">
        <v>0.8</v>
      </c>
      <c r="D10" s="3">
        <v>0.72</v>
      </c>
      <c r="F10" s="4" t="s">
        <v>8</v>
      </c>
      <c r="H10" s="7">
        <f>_xlfn.XLOOKUP(H8, B5:B28, C5:C28, , 1)</f>
        <v>0.93388497347791377</v>
      </c>
    </row>
    <row r="11" spans="2:8" x14ac:dyDescent="0.35">
      <c r="B11" s="3">
        <v>0.5</v>
      </c>
      <c r="C11" s="3">
        <v>0.7978564167226655</v>
      </c>
      <c r="D11" s="3">
        <v>0.66219164063324765</v>
      </c>
      <c r="F11" s="4" t="s">
        <v>9</v>
      </c>
      <c r="H11" s="7">
        <f>_xlfn.XLOOKUP(H8, B5:B28, D5:D28, , 1)</f>
        <v>0.54</v>
      </c>
    </row>
    <row r="12" spans="2:8" x14ac:dyDescent="0.35">
      <c r="B12" s="3">
        <v>0.6</v>
      </c>
      <c r="C12" s="3">
        <v>0.8</v>
      </c>
      <c r="D12" s="3">
        <v>0.61</v>
      </c>
    </row>
    <row r="13" spans="2:8" x14ac:dyDescent="0.35">
      <c r="B13" s="3">
        <v>0.7</v>
      </c>
      <c r="C13" s="3">
        <v>0.80782061738681876</v>
      </c>
      <c r="D13" s="3">
        <v>0.56814343054934691</v>
      </c>
      <c r="F13" s="8" t="s">
        <v>10</v>
      </c>
      <c r="H13" s="6">
        <f>H10*(H6/H5)^2</f>
        <v>0.64853123158188464</v>
      </c>
    </row>
    <row r="14" spans="2:8" x14ac:dyDescent="0.35">
      <c r="B14" s="3">
        <v>0.8</v>
      </c>
      <c r="C14" s="3">
        <v>0.82</v>
      </c>
      <c r="D14" s="3">
        <v>0.54</v>
      </c>
      <c r="F14" s="8" t="s">
        <v>11</v>
      </c>
      <c r="H14" s="6">
        <f>H11*(H6/H5)^2</f>
        <v>0.37500000000000006</v>
      </c>
    </row>
    <row r="15" spans="2:8" x14ac:dyDescent="0.35">
      <c r="B15" s="3">
        <v>0.9</v>
      </c>
      <c r="C15" s="3">
        <v>0.83635669186910333</v>
      </c>
      <c r="D15" s="3">
        <v>0.52503431245208732</v>
      </c>
    </row>
    <row r="16" spans="2:8" x14ac:dyDescent="0.35">
      <c r="B16" s="3">
        <v>1</v>
      </c>
      <c r="C16" s="3">
        <v>0.86</v>
      </c>
      <c r="D16" s="3">
        <v>0.52000000000000013</v>
      </c>
    </row>
    <row r="17" spans="2:4" x14ac:dyDescent="0.35">
      <c r="B17" s="3">
        <v>1.2</v>
      </c>
      <c r="C17" s="3">
        <v>0.93388497347791377</v>
      </c>
      <c r="D17" s="3">
        <v>0.54</v>
      </c>
    </row>
    <row r="18" spans="2:4" x14ac:dyDescent="0.35">
      <c r="B18" s="3">
        <v>1.4</v>
      </c>
      <c r="C18" s="3">
        <v>1.0378979459303339</v>
      </c>
      <c r="D18" s="3">
        <v>0.62438793275529747</v>
      </c>
    </row>
    <row r="19" spans="2:4" x14ac:dyDescent="0.35">
      <c r="B19" s="3">
        <v>1.6</v>
      </c>
      <c r="C19" s="3">
        <v>1.168535631202458</v>
      </c>
      <c r="D19" s="3">
        <v>0.80339310218969273</v>
      </c>
    </row>
    <row r="20" spans="2:4" x14ac:dyDescent="0.35">
      <c r="B20" s="3">
        <v>1.8</v>
      </c>
      <c r="C20" s="3">
        <v>1.3233837120262171</v>
      </c>
      <c r="D20" s="3">
        <v>1.0790615257739391</v>
      </c>
    </row>
    <row r="21" spans="2:4" x14ac:dyDescent="0.35">
      <c r="B21" s="3">
        <v>2</v>
      </c>
      <c r="C21" s="3">
        <v>1.5</v>
      </c>
      <c r="D21" s="3">
        <v>1.4</v>
      </c>
    </row>
    <row r="22" spans="2:4" x14ac:dyDescent="0.35">
      <c r="B22" s="3">
        <v>2.2000000000000002</v>
      </c>
      <c r="C22" s="3">
        <v>1.69711749901771</v>
      </c>
      <c r="D22" s="3">
        <v>1.7020182883486921</v>
      </c>
    </row>
    <row r="23" spans="2:4" x14ac:dyDescent="0.35">
      <c r="B23" s="3">
        <v>2.4</v>
      </c>
      <c r="C23" s="3">
        <v>1.9149593005681711</v>
      </c>
      <c r="D23" s="3">
        <v>1.9731527438323571</v>
      </c>
    </row>
    <row r="24" spans="2:4" x14ac:dyDescent="0.35">
      <c r="B24" s="3">
        <v>2.6</v>
      </c>
      <c r="C24" s="3">
        <v>2.1541920970454651</v>
      </c>
      <c r="D24" s="3">
        <v>2.223111562713318</v>
      </c>
    </row>
    <row r="25" spans="2:4" x14ac:dyDescent="0.35">
      <c r="B25" s="3">
        <v>2.8</v>
      </c>
      <c r="C25" s="3">
        <v>2.4155898619066138</v>
      </c>
      <c r="D25" s="3">
        <v>2.4648958106624401</v>
      </c>
    </row>
    <row r="26" spans="2:4" x14ac:dyDescent="0.35">
      <c r="B26" s="3">
        <v>3</v>
      </c>
      <c r="C26" s="3">
        <v>2.7</v>
      </c>
      <c r="D26" s="3">
        <v>2.7120751667518022</v>
      </c>
    </row>
    <row r="27" spans="2:4" x14ac:dyDescent="0.35">
      <c r="B27" s="3">
        <v>3.5</v>
      </c>
      <c r="C27" s="3">
        <v>3.5177102341977999</v>
      </c>
      <c r="D27" s="3">
        <v>3.4404221546327709</v>
      </c>
    </row>
    <row r="28" spans="2:4" x14ac:dyDescent="0.35">
      <c r="B28" s="3">
        <v>4</v>
      </c>
      <c r="C28" s="3">
        <v>4.5000000000000009</v>
      </c>
      <c r="D28" s="3">
        <v>4.5000000000000009</v>
      </c>
    </row>
  </sheetData>
  <mergeCells count="1">
    <mergeCell ref="F4:H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Widerstand_Diagramm_Werte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Özgöller</cp:lastModifiedBy>
  <dcterms:created xsi:type="dcterms:W3CDTF">2026-07-06T19:02:59Z</dcterms:created>
  <dcterms:modified xsi:type="dcterms:W3CDTF">2026-07-06T19:10:23Z</dcterms:modified>
</cp:coreProperties>
</file>