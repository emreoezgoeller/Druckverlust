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t_abzweig_durchgang_rund2\"/>
    </mc:Choice>
  </mc:AlternateContent>
  <xr:revisionPtr revIDLastSave="0" documentId="13_ncr:1_{07E93316-2BED-4554-AF1E-0A51AD8F6AF8}" xr6:coauthVersionLast="47" xr6:coauthVersionMax="47" xr10:uidLastSave="{00000000-0000-0000-0000-000000000000}"/>
  <bookViews>
    <workbookView xWindow="-110" yWindow="-110" windowWidth="29020" windowHeight="17500" xr2:uid="{3038C2C0-F28E-46E0-B176-19FCF40323BA}"/>
  </bookViews>
  <sheets>
    <sheet name="Zetawer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1" i="2" l="1" a="1"/>
  <c r="S1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<sst xmlns="http://schemas.openxmlformats.org/spreadsheetml/2006/main" count="30" uniqueCount="16">
  <si>
    <t>Brechnung</t>
  </si>
  <si>
    <t>Summe</t>
  </si>
  <si>
    <t>α (°)</t>
  </si>
  <si>
    <t>Zetawerte</t>
  </si>
  <si>
    <t>Abzweig - Durchgang</t>
  </si>
  <si>
    <t>W</t>
  </si>
  <si>
    <t>A</t>
  </si>
  <si>
    <t>AA</t>
  </si>
  <si>
    <t>AD</t>
  </si>
  <si>
    <t>WA</t>
  </si>
  <si>
    <t>wA/w</t>
  </si>
  <si>
    <t>AA/A = 0.1</t>
  </si>
  <si>
    <t>AA/A = 0.3</t>
  </si>
  <si>
    <t>AA/A = 0.5</t>
  </si>
  <si>
    <t>AA + AD &gt; A; AD = A</t>
  </si>
  <si>
    <t>AA + AD =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</si>
</sst>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\1"/>
    <numFmt numFmtId="165" formatCode="0.0"/>
    <numFmt numFmtId="166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1"/>
      <color rgb="FF002060"/>
      <name val="Arial"/>
      <family val="2"/>
    </font>
    <font>
      <b/>
      <i/>
      <sz val="11"/>
      <name val="Arial"/>
      <family val="2"/>
    </font>
    <font>
      <b/>
      <sz val="11"/>
      <color rgb="FF1F4E7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theme="4" tint="0.79998168889431442"/>
        <bgColor rgb="FFDDEBF7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 applyAlignment="1">
      <alignment horizontal="center"/>
    </xf>
    <xf numFmtId="0" fontId="5" fillId="0" borderId="9" xfId="0" applyFont="1" applyBorder="1"/>
    <xf numFmtId="0" fontId="5" fillId="0" borderId="0" xfId="0" applyFont="1"/>
    <xf numFmtId="0" fontId="1" fillId="0" borderId="10" xfId="0" applyFont="1" applyBorder="1"/>
    <xf numFmtId="0" fontId="1" fillId="0" borderId="2" xfId="0" applyFont="1" applyBorder="1"/>
    <xf numFmtId="164" fontId="3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166" fontId="3" fillId="3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7" fillId="0" borderId="0" xfId="0" applyFont="1"/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/>
  </cellXfs>
  <cellStyles count="1">
    <cellStyle name="Standard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BFBFBF"/>
        </top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82314</xdr:colOff>
      <xdr:row>4</xdr:row>
      <xdr:rowOff>78110</xdr:rowOff>
    </xdr:from>
    <xdr:to>
      <xdr:col>2</xdr:col>
      <xdr:colOff>713611</xdr:colOff>
      <xdr:row>9</xdr:row>
      <xdr:rowOff>154446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09DECC68-5A53-483A-BFAB-405C18D28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14" y="31754841"/>
          <a:ext cx="2161810" cy="97999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B57C85-1567-4E2B-BDCE-FA46CC80C095}" name="Tabelle1" displayName="Tabelle1" ref="E5:E10" totalsRowShown="0" headerRowDxfId="5" dataDxfId="3" headerRowBorderDxfId="4" tableBorderDxfId="2" totalsRowBorderDxfId="1">
  <autoFilter ref="E5:E10" xr:uid="{1DB57C85-1567-4E2B-BDCE-FA46CC80C095}"/>
  <tableColumns count="1">
    <tableColumn id="1" xr3:uid="{18DB2BFD-DB0C-48FD-8257-51F3C00AFF59}" name="α (°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DFF4-9481-441C-A64B-AA8046DF316F}">
  <dimension ref="A1:S54"/>
  <sheetViews>
    <sheetView tabSelected="1" zoomScale="65" zoomScaleNormal="115" workbookViewId="0">
      <selection activeCell="X30" sqref="X30"/>
    </sheetView>
  </sheetViews>
  <sheetFormatPr baseColWidth="10" defaultRowHeight="14" x14ac:dyDescent="0.3"/>
  <cols>
    <col min="1" max="3" width="10.90625" style="1"/>
    <col min="4" max="4" width="11" style="1" customWidth="1"/>
    <col min="5" max="18" width="10.90625" style="1"/>
    <col min="19" max="19" width="15.81640625" style="2" customWidth="1"/>
    <col min="20" max="16384" width="10.90625" style="1"/>
  </cols>
  <sheetData>
    <row r="1" spans="1:19" x14ac:dyDescent="0.3">
      <c r="A1" s="3" t="s">
        <v>3</v>
      </c>
    </row>
    <row r="3" spans="1:19" x14ac:dyDescent="0.3">
      <c r="A3" s="11"/>
      <c r="B3" s="12"/>
      <c r="C3" s="12"/>
      <c r="D3" s="18" t="s">
        <v>14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20"/>
    </row>
    <row r="4" spans="1:19" x14ac:dyDescent="0.3">
      <c r="A4" s="13" t="s">
        <v>4</v>
      </c>
      <c r="E4" s="31" t="s">
        <v>10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R4" s="1" t="s">
        <v>0</v>
      </c>
      <c r="S4" s="21"/>
    </row>
    <row r="5" spans="1:19" ht="14.5" thickBot="1" x14ac:dyDescent="0.35">
      <c r="A5" s="13"/>
      <c r="D5" s="29" t="s">
        <v>11</v>
      </c>
      <c r="E5" s="28" t="s">
        <v>2</v>
      </c>
      <c r="F5" s="10">
        <v>0.3</v>
      </c>
      <c r="G5" s="10">
        <v>0.4</v>
      </c>
      <c r="H5" s="10">
        <v>0.5</v>
      </c>
      <c r="I5" s="10">
        <v>0.6</v>
      </c>
      <c r="J5" s="10">
        <v>0.7</v>
      </c>
      <c r="K5" s="10">
        <v>0.8</v>
      </c>
      <c r="L5" s="10">
        <v>0.9</v>
      </c>
      <c r="M5" s="10">
        <v>1</v>
      </c>
      <c r="N5" s="10">
        <v>1.1000000000000001</v>
      </c>
      <c r="O5" s="10">
        <v>1.2</v>
      </c>
      <c r="P5" s="10">
        <v>1.5</v>
      </c>
      <c r="R5" s="4" t="s">
        <v>9</v>
      </c>
      <c r="S5" s="22">
        <v>2.5</v>
      </c>
    </row>
    <row r="6" spans="1:19" x14ac:dyDescent="0.3">
      <c r="A6" s="13"/>
      <c r="D6" s="30"/>
      <c r="E6" s="27">
        <v>15</v>
      </c>
      <c r="F6" s="8">
        <v>-9</v>
      </c>
      <c r="G6" s="8">
        <v>-4.5</v>
      </c>
      <c r="H6" s="8">
        <v>-2.4</v>
      </c>
      <c r="I6" s="8">
        <v>-1.3</v>
      </c>
      <c r="J6" s="8">
        <v>-0.7</v>
      </c>
      <c r="K6" s="8">
        <v>-0.3</v>
      </c>
      <c r="L6" s="8">
        <v>0</v>
      </c>
      <c r="M6" s="8">
        <v>0.2</v>
      </c>
      <c r="N6" s="8">
        <v>0.3</v>
      </c>
      <c r="O6" s="8">
        <v>0.4</v>
      </c>
      <c r="P6" s="8">
        <v>0.6</v>
      </c>
      <c r="R6" s="4" t="s">
        <v>5</v>
      </c>
      <c r="S6" s="22">
        <v>3.5</v>
      </c>
    </row>
    <row r="7" spans="1:19" x14ac:dyDescent="0.3">
      <c r="A7" s="13"/>
      <c r="D7" s="30"/>
      <c r="E7" s="27">
        <v>30</v>
      </c>
      <c r="F7" s="8">
        <v>-9</v>
      </c>
      <c r="G7" s="8">
        <v>-4.4000000000000004</v>
      </c>
      <c r="H7" s="8">
        <v>-2.4</v>
      </c>
      <c r="I7" s="8">
        <v>-1.3</v>
      </c>
      <c r="J7" s="8">
        <v>-0.7</v>
      </c>
      <c r="K7" s="8">
        <v>-0.3</v>
      </c>
      <c r="L7" s="8">
        <v>0</v>
      </c>
      <c r="M7" s="8">
        <v>0.2</v>
      </c>
      <c r="N7" s="8">
        <v>0.3</v>
      </c>
      <c r="O7" s="8">
        <v>0.5</v>
      </c>
      <c r="P7" s="8">
        <v>0.6</v>
      </c>
      <c r="R7" s="4" t="s">
        <v>2</v>
      </c>
      <c r="S7" s="23">
        <v>45</v>
      </c>
    </row>
    <row r="8" spans="1:19" x14ac:dyDescent="0.3">
      <c r="A8" s="13"/>
      <c r="D8" s="30"/>
      <c r="E8" s="27">
        <v>45</v>
      </c>
      <c r="F8" s="8">
        <v>-8.9</v>
      </c>
      <c r="G8" s="8">
        <v>-4.4000000000000004</v>
      </c>
      <c r="H8" s="8">
        <v>-2.4</v>
      </c>
      <c r="I8" s="8">
        <v>-1.3</v>
      </c>
      <c r="J8" s="8">
        <v>-0.6</v>
      </c>
      <c r="K8" s="8">
        <v>-0.2</v>
      </c>
      <c r="L8" s="8">
        <v>0.1</v>
      </c>
      <c r="M8" s="8">
        <v>0.2</v>
      </c>
      <c r="N8" s="8">
        <v>0.4</v>
      </c>
      <c r="O8" s="8">
        <v>0.5</v>
      </c>
      <c r="P8" s="8">
        <v>0.7</v>
      </c>
      <c r="R8" s="4" t="s">
        <v>7</v>
      </c>
      <c r="S8" s="24">
        <v>0.05</v>
      </c>
    </row>
    <row r="9" spans="1:19" x14ac:dyDescent="0.3">
      <c r="A9" s="13"/>
      <c r="D9" s="30"/>
      <c r="E9" s="27">
        <v>60</v>
      </c>
      <c r="F9" s="8">
        <v>-8.9</v>
      </c>
      <c r="G9" s="8">
        <v>-4.4000000000000004</v>
      </c>
      <c r="H9" s="8">
        <v>-2.2999999999999998</v>
      </c>
      <c r="I9" s="8">
        <v>-1.2</v>
      </c>
      <c r="J9" s="8">
        <v>-0.6</v>
      </c>
      <c r="K9" s="8">
        <v>-0.2</v>
      </c>
      <c r="L9" s="8">
        <v>0.1</v>
      </c>
      <c r="M9" s="8">
        <v>0.3</v>
      </c>
      <c r="N9" s="8">
        <v>0.4</v>
      </c>
      <c r="O9" s="8">
        <v>0.5</v>
      </c>
      <c r="P9" s="8">
        <v>0.7</v>
      </c>
      <c r="R9" s="4" t="s">
        <v>8</v>
      </c>
      <c r="S9" s="22">
        <v>0.125</v>
      </c>
    </row>
    <row r="10" spans="1:19" x14ac:dyDescent="0.3">
      <c r="A10" s="13"/>
      <c r="D10" s="30"/>
      <c r="E10" s="5">
        <v>90</v>
      </c>
      <c r="F10" s="8">
        <v>-8.8000000000000007</v>
      </c>
      <c r="G10" s="8">
        <v>-4.3</v>
      </c>
      <c r="H10" s="8">
        <v>-2.2000000000000002</v>
      </c>
      <c r="I10" s="8">
        <v>-1.1000000000000001</v>
      </c>
      <c r="J10" s="8">
        <v>-0.5</v>
      </c>
      <c r="K10" s="8">
        <v>-0.1</v>
      </c>
      <c r="L10" s="8">
        <v>0.2</v>
      </c>
      <c r="M10" s="8">
        <v>0.4</v>
      </c>
      <c r="N10" s="8">
        <v>0.5</v>
      </c>
      <c r="O10" s="8">
        <v>0.6</v>
      </c>
      <c r="P10" s="8">
        <v>0.8</v>
      </c>
      <c r="R10" s="4" t="s">
        <v>6</v>
      </c>
      <c r="S10" s="22">
        <v>0.125</v>
      </c>
    </row>
    <row r="11" spans="1:19" x14ac:dyDescent="0.3">
      <c r="A11" s="13"/>
      <c r="R11" s="4" t="s">
        <v>1</v>
      </c>
      <c r="S11" s="25" cm="1">
        <f t="array" ref="S11">IF(S8+S9&gt;S10, IF(S8/S10&lt;=0.2, _xlfn.XLOOKUP(S7, E6:E10, _xlfn.XLOOKUP(S5/S6, F5:Q5, F6:Q10, , -1)), IF(S8/S10&lt;=0.4, _xlfn.XLOOKUP(S7, E14:E18, _xlfn.XLOOKUP(S5/S6, F13:Q13, F14:Q18, , -1)), _xlfn.XLOOKUP(S7, E22:E26, _xlfn.XLOOKUP(S5/S6, F21:Q21, F22:Q26, , -1)))), IF(S8/S10&lt;=0.2, _xlfn.XLOOKUP(S7, E33:E37, _xlfn.XLOOKUP(S5/S6, F32:Q32, F33:Q37, , -1)), IF(S8/S10&lt;=0.4, _xlfn.XLOOKUP(S7, E41:E45, _xlfn.XLOOKUP(S5/S6, F40:Q40, F41:Q45, , -1)), _xlfn.XLOOKUP(S7, E49:E53, _xlfn.XLOOKUP(S5/S6, F48:Q48, F49:Q53, , -1)))))</f>
        <v>0.1</v>
      </c>
    </row>
    <row r="12" spans="1:19" x14ac:dyDescent="0.3">
      <c r="A12" s="13"/>
      <c r="E12" s="31" t="s">
        <v>10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S12" s="14"/>
    </row>
    <row r="13" spans="1:19" ht="14.5" thickBot="1" x14ac:dyDescent="0.35">
      <c r="A13" s="13"/>
      <c r="D13" s="29" t="s">
        <v>12</v>
      </c>
      <c r="E13" s="6" t="s">
        <v>2</v>
      </c>
      <c r="F13" s="10">
        <v>0.3</v>
      </c>
      <c r="G13" s="10">
        <v>0.4</v>
      </c>
      <c r="H13" s="10">
        <v>0.5</v>
      </c>
      <c r="I13" s="10">
        <v>0.6</v>
      </c>
      <c r="J13" s="10">
        <v>0.7</v>
      </c>
      <c r="K13" s="10">
        <v>0.8</v>
      </c>
      <c r="L13" s="10">
        <v>0.9</v>
      </c>
      <c r="M13" s="10">
        <v>1</v>
      </c>
      <c r="N13" s="10">
        <v>1.1000000000000001</v>
      </c>
      <c r="O13" s="10">
        <v>1.2</v>
      </c>
      <c r="P13" s="10">
        <v>1.5</v>
      </c>
      <c r="S13" s="21"/>
    </row>
    <row r="14" spans="1:19" x14ac:dyDescent="0.3">
      <c r="A14" s="13"/>
      <c r="D14" s="30"/>
      <c r="E14" s="7">
        <v>15</v>
      </c>
      <c r="F14" s="8">
        <v>-6.9</v>
      </c>
      <c r="G14" s="8">
        <v>-3</v>
      </c>
      <c r="H14" s="8">
        <v>-1.4</v>
      </c>
      <c r="I14" s="8">
        <v>-0.5</v>
      </c>
      <c r="J14" s="8">
        <v>-0.1</v>
      </c>
      <c r="K14" s="8">
        <v>0.2</v>
      </c>
      <c r="L14" s="8">
        <v>0.3</v>
      </c>
      <c r="M14" s="8">
        <v>0.5</v>
      </c>
      <c r="N14" s="8">
        <v>0.5</v>
      </c>
      <c r="O14" s="8">
        <v>0.6</v>
      </c>
      <c r="P14" s="8">
        <v>0.6</v>
      </c>
      <c r="S14" s="21"/>
    </row>
    <row r="15" spans="1:19" x14ac:dyDescent="0.3">
      <c r="A15" s="13"/>
      <c r="D15" s="30"/>
      <c r="E15" s="7">
        <v>30</v>
      </c>
      <c r="F15" s="8">
        <v>-6.8</v>
      </c>
      <c r="G15" s="8">
        <v>-2.9</v>
      </c>
      <c r="H15" s="8">
        <v>-1.3</v>
      </c>
      <c r="I15" s="8">
        <v>-0.5</v>
      </c>
      <c r="J15" s="8">
        <v>-0.1</v>
      </c>
      <c r="K15" s="8">
        <v>0.2</v>
      </c>
      <c r="L15" s="8">
        <v>0.4</v>
      </c>
      <c r="M15" s="8">
        <v>0.5</v>
      </c>
      <c r="N15" s="8">
        <v>0.6</v>
      </c>
      <c r="O15" s="8">
        <v>0.6</v>
      </c>
      <c r="P15" s="8">
        <v>0.7</v>
      </c>
      <c r="S15" s="21"/>
    </row>
    <row r="16" spans="1:19" x14ac:dyDescent="0.3">
      <c r="A16" s="13"/>
      <c r="D16" s="30"/>
      <c r="E16" s="7">
        <v>45</v>
      </c>
      <c r="F16" s="8">
        <v>-6.7</v>
      </c>
      <c r="G16" s="8">
        <v>-2.8</v>
      </c>
      <c r="H16" s="8">
        <v>-1.2</v>
      </c>
      <c r="I16" s="8">
        <v>-0.4</v>
      </c>
      <c r="J16" s="8">
        <v>0.1</v>
      </c>
      <c r="K16" s="8">
        <v>0.3</v>
      </c>
      <c r="L16" s="8">
        <v>0.5</v>
      </c>
      <c r="M16" s="8">
        <v>0.6</v>
      </c>
      <c r="N16" s="8">
        <v>0.7</v>
      </c>
      <c r="O16" s="8">
        <v>0.7</v>
      </c>
      <c r="P16" s="8">
        <v>0.8</v>
      </c>
      <c r="S16" s="21"/>
    </row>
    <row r="17" spans="1:19" x14ac:dyDescent="0.3">
      <c r="A17" s="13"/>
      <c r="D17" s="30"/>
      <c r="E17" s="7">
        <v>60</v>
      </c>
      <c r="F17" s="8">
        <v>-6.6</v>
      </c>
      <c r="G17" s="8">
        <v>-2.7</v>
      </c>
      <c r="H17" s="8">
        <v>-1.1000000000000001</v>
      </c>
      <c r="I17" s="8">
        <v>-0.3</v>
      </c>
      <c r="J17" s="8">
        <v>0.2</v>
      </c>
      <c r="K17" s="8">
        <v>0.5</v>
      </c>
      <c r="L17" s="8">
        <v>0.6</v>
      </c>
      <c r="M17" s="8">
        <v>0.7</v>
      </c>
      <c r="N17" s="8">
        <v>0.8</v>
      </c>
      <c r="O17" s="8">
        <v>0.8</v>
      </c>
      <c r="P17" s="8">
        <v>0.9</v>
      </c>
      <c r="S17" s="21"/>
    </row>
    <row r="18" spans="1:19" x14ac:dyDescent="0.3">
      <c r="A18" s="13"/>
      <c r="D18" s="30"/>
      <c r="E18" s="7">
        <v>90</v>
      </c>
      <c r="F18" s="8">
        <v>-6.3</v>
      </c>
      <c r="G18" s="8">
        <v>-2.4</v>
      </c>
      <c r="H18" s="8">
        <v>-0.8</v>
      </c>
      <c r="I18" s="8">
        <v>0</v>
      </c>
      <c r="J18" s="8">
        <v>0.5</v>
      </c>
      <c r="K18" s="8">
        <v>0.8</v>
      </c>
      <c r="L18" s="8">
        <v>0.9</v>
      </c>
      <c r="M18" s="8">
        <v>1</v>
      </c>
      <c r="N18" s="8">
        <v>1.1000000000000001</v>
      </c>
      <c r="O18" s="8">
        <v>1.1000000000000001</v>
      </c>
      <c r="P18" s="8">
        <v>1.2</v>
      </c>
      <c r="S18" s="21"/>
    </row>
    <row r="19" spans="1:19" x14ac:dyDescent="0.3">
      <c r="A19" s="13"/>
      <c r="S19" s="21"/>
    </row>
    <row r="20" spans="1:19" x14ac:dyDescent="0.3">
      <c r="A20" s="13"/>
      <c r="E20" s="31" t="s">
        <v>10</v>
      </c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S20" s="21"/>
    </row>
    <row r="21" spans="1:19" ht="14.5" thickBot="1" x14ac:dyDescent="0.35">
      <c r="A21" s="13"/>
      <c r="D21" s="29" t="s">
        <v>13</v>
      </c>
      <c r="E21" s="6" t="s">
        <v>2</v>
      </c>
      <c r="F21" s="10">
        <v>0.3</v>
      </c>
      <c r="G21" s="10">
        <v>0.4</v>
      </c>
      <c r="H21" s="10">
        <v>0.5</v>
      </c>
      <c r="I21" s="10">
        <v>0.6</v>
      </c>
      <c r="J21" s="10">
        <v>0.7</v>
      </c>
      <c r="K21" s="10">
        <v>0.8</v>
      </c>
      <c r="L21" s="10">
        <v>0.9</v>
      </c>
      <c r="M21" s="10">
        <v>1</v>
      </c>
      <c r="N21" s="10">
        <v>1.1000000000000001</v>
      </c>
      <c r="O21" s="10">
        <v>1.2</v>
      </c>
      <c r="P21" s="10">
        <v>1.5</v>
      </c>
      <c r="S21" s="21"/>
    </row>
    <row r="22" spans="1:19" x14ac:dyDescent="0.3">
      <c r="A22" s="13"/>
      <c r="D22" s="30"/>
      <c r="E22" s="7">
        <v>15</v>
      </c>
      <c r="F22" s="8">
        <v>-3.8</v>
      </c>
      <c r="G22" s="8">
        <v>-1.2</v>
      </c>
      <c r="H22" s="8">
        <v>-0.3</v>
      </c>
      <c r="I22" s="8">
        <v>0.1</v>
      </c>
      <c r="J22" s="8">
        <v>0.2</v>
      </c>
      <c r="K22" s="9">
        <v>0.25</v>
      </c>
      <c r="L22" s="8">
        <v>0.3</v>
      </c>
      <c r="M22" s="8">
        <v>0.3</v>
      </c>
      <c r="N22" s="8">
        <v>0.3</v>
      </c>
      <c r="O22" s="8">
        <v>0.3</v>
      </c>
      <c r="P22" s="9">
        <v>0.25</v>
      </c>
      <c r="S22" s="21"/>
    </row>
    <row r="23" spans="1:19" x14ac:dyDescent="0.3">
      <c r="A23" s="13"/>
      <c r="D23" s="30"/>
      <c r="E23" s="7">
        <v>30</v>
      </c>
      <c r="F23" s="8">
        <v>-3.7</v>
      </c>
      <c r="G23" s="8">
        <v>-1.2</v>
      </c>
      <c r="H23" s="8">
        <v>-0.3</v>
      </c>
      <c r="I23" s="8">
        <v>0.1</v>
      </c>
      <c r="J23" s="8">
        <v>0.3</v>
      </c>
      <c r="K23" s="8">
        <v>0.3</v>
      </c>
      <c r="L23" s="8">
        <v>0.3</v>
      </c>
      <c r="M23" s="9">
        <v>0.35</v>
      </c>
      <c r="N23" s="8">
        <v>0.3</v>
      </c>
      <c r="O23" s="8">
        <v>0.3</v>
      </c>
      <c r="P23" s="8">
        <v>0.3</v>
      </c>
      <c r="S23" s="21"/>
    </row>
    <row r="24" spans="1:19" x14ac:dyDescent="0.3">
      <c r="A24" s="13"/>
      <c r="D24" s="30"/>
      <c r="E24" s="7">
        <v>45</v>
      </c>
      <c r="F24" s="8">
        <v>-3.6</v>
      </c>
      <c r="G24" s="8">
        <v>-1.1000000000000001</v>
      </c>
      <c r="H24" s="8">
        <v>-0.1</v>
      </c>
      <c r="I24" s="8">
        <v>0.2</v>
      </c>
      <c r="J24" s="8">
        <v>0.4</v>
      </c>
      <c r="K24" s="8">
        <v>0.4</v>
      </c>
      <c r="L24" s="8">
        <v>0.4</v>
      </c>
      <c r="M24" s="8">
        <v>0.4</v>
      </c>
      <c r="N24" s="8">
        <v>0.4</v>
      </c>
      <c r="O24" s="8">
        <v>0.4</v>
      </c>
      <c r="P24" s="8">
        <v>0.4</v>
      </c>
      <c r="S24" s="21"/>
    </row>
    <row r="25" spans="1:19" x14ac:dyDescent="0.3">
      <c r="A25" s="13"/>
      <c r="D25" s="30"/>
      <c r="E25" s="7">
        <v>60</v>
      </c>
      <c r="F25" s="8">
        <v>-3.4</v>
      </c>
      <c r="G25" s="8">
        <v>-0.9</v>
      </c>
      <c r="H25" s="8">
        <v>0</v>
      </c>
      <c r="I25" s="8">
        <v>0.4</v>
      </c>
      <c r="J25" s="8">
        <v>0.5</v>
      </c>
      <c r="K25" s="8">
        <v>0.5</v>
      </c>
      <c r="L25" s="8">
        <v>0.5</v>
      </c>
      <c r="M25" s="8">
        <v>0.5</v>
      </c>
      <c r="N25" s="9">
        <v>0.55000000000000004</v>
      </c>
      <c r="O25" s="8">
        <v>0.5</v>
      </c>
      <c r="P25" s="8">
        <v>0.5</v>
      </c>
      <c r="S25" s="21"/>
    </row>
    <row r="26" spans="1:19" x14ac:dyDescent="0.3">
      <c r="A26" s="13"/>
      <c r="D26" s="30"/>
      <c r="E26" s="7">
        <v>90</v>
      </c>
      <c r="F26" s="8">
        <v>-3</v>
      </c>
      <c r="G26" s="8">
        <v>-0.5</v>
      </c>
      <c r="H26" s="8">
        <v>0.3</v>
      </c>
      <c r="I26" s="8">
        <v>0.7</v>
      </c>
      <c r="J26" s="8">
        <v>0.8</v>
      </c>
      <c r="K26" s="8">
        <v>0.8</v>
      </c>
      <c r="L26" s="8">
        <v>0.8</v>
      </c>
      <c r="M26" s="8">
        <v>0.8</v>
      </c>
      <c r="N26" s="8">
        <v>0.8</v>
      </c>
      <c r="O26" s="8">
        <v>0.8</v>
      </c>
      <c r="P26" s="8">
        <v>0.8</v>
      </c>
      <c r="S26" s="21"/>
    </row>
    <row r="27" spans="1:19" x14ac:dyDescent="0.3">
      <c r="A27" s="13"/>
      <c r="S27" s="21"/>
    </row>
    <row r="28" spans="1:19" x14ac:dyDescent="0.3">
      <c r="A28" s="13"/>
      <c r="S28" s="21"/>
    </row>
    <row r="29" spans="1:19" x14ac:dyDescent="0.3">
      <c r="A29" s="13"/>
      <c r="D29" s="19" t="s">
        <v>15</v>
      </c>
      <c r="S29" s="21"/>
    </row>
    <row r="30" spans="1:19" x14ac:dyDescent="0.3">
      <c r="A30" s="13"/>
      <c r="D30" s="26"/>
      <c r="S30" s="21"/>
    </row>
    <row r="31" spans="1:19" x14ac:dyDescent="0.3">
      <c r="A31" s="13"/>
      <c r="E31" s="31" t="s">
        <v>10</v>
      </c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S31" s="21"/>
    </row>
    <row r="32" spans="1:19" ht="14.5" thickBot="1" x14ac:dyDescent="0.35">
      <c r="A32" s="13"/>
      <c r="D32" s="29" t="s">
        <v>11</v>
      </c>
      <c r="E32" s="6" t="s">
        <v>2</v>
      </c>
      <c r="F32" s="10">
        <v>0.3</v>
      </c>
      <c r="G32" s="10">
        <v>0.4</v>
      </c>
      <c r="H32" s="10">
        <v>0.5</v>
      </c>
      <c r="I32" s="10">
        <v>0.6</v>
      </c>
      <c r="J32" s="10">
        <v>0.7</v>
      </c>
      <c r="K32" s="10">
        <v>0.8</v>
      </c>
      <c r="L32" s="10">
        <v>0.9</v>
      </c>
      <c r="M32" s="10">
        <v>1</v>
      </c>
      <c r="N32" s="10">
        <v>1.1000000000000001</v>
      </c>
      <c r="O32" s="10">
        <v>1.2</v>
      </c>
      <c r="P32" s="10">
        <v>1.5</v>
      </c>
      <c r="S32" s="21"/>
    </row>
    <row r="33" spans="1:19" x14ac:dyDescent="0.3">
      <c r="A33" s="13"/>
      <c r="D33" s="30"/>
      <c r="E33" s="7">
        <v>15</v>
      </c>
      <c r="F33" s="8">
        <v>-11.3</v>
      </c>
      <c r="G33" s="8">
        <v>-5.7</v>
      </c>
      <c r="H33" s="8">
        <v>-3.2</v>
      </c>
      <c r="I33" s="8">
        <v>-1.8</v>
      </c>
      <c r="J33" s="8">
        <v>-1.1000000000000001</v>
      </c>
      <c r="K33" s="8">
        <v>-0.6</v>
      </c>
      <c r="L33" s="8">
        <v>-0.2</v>
      </c>
      <c r="M33" s="8">
        <v>0</v>
      </c>
      <c r="N33" s="8">
        <v>0.2</v>
      </c>
      <c r="O33" s="8">
        <v>0.3</v>
      </c>
      <c r="P33" s="8">
        <v>0.5</v>
      </c>
      <c r="S33" s="21"/>
    </row>
    <row r="34" spans="1:19" x14ac:dyDescent="0.3">
      <c r="A34" s="13"/>
      <c r="D34" s="30"/>
      <c r="E34" s="7">
        <v>30</v>
      </c>
      <c r="F34" s="8">
        <v>-11.3</v>
      </c>
      <c r="G34" s="8">
        <v>-5.7</v>
      </c>
      <c r="H34" s="8">
        <v>-3.2</v>
      </c>
      <c r="I34" s="8">
        <v>-1.9</v>
      </c>
      <c r="J34" s="8">
        <v>-1.1000000000000001</v>
      </c>
      <c r="K34" s="8">
        <v>-0.6</v>
      </c>
      <c r="L34" s="8">
        <v>-0.2</v>
      </c>
      <c r="M34" s="8">
        <v>0</v>
      </c>
      <c r="N34" s="8">
        <v>0.2</v>
      </c>
      <c r="O34" s="8">
        <v>0.3</v>
      </c>
      <c r="P34" s="8">
        <v>0.6</v>
      </c>
      <c r="S34" s="21"/>
    </row>
    <row r="35" spans="1:19" x14ac:dyDescent="0.3">
      <c r="A35" s="13"/>
      <c r="D35" s="30"/>
      <c r="E35" s="7">
        <v>45</v>
      </c>
      <c r="F35" s="8">
        <v>-11.3</v>
      </c>
      <c r="G35" s="8">
        <v>-5.7</v>
      </c>
      <c r="H35" s="8">
        <v>-3.2</v>
      </c>
      <c r="I35" s="8">
        <v>-1.8</v>
      </c>
      <c r="J35" s="8">
        <v>-1</v>
      </c>
      <c r="K35" s="8">
        <v>-0.5</v>
      </c>
      <c r="L35" s="8">
        <v>-0.2</v>
      </c>
      <c r="M35" s="8">
        <v>0.1</v>
      </c>
      <c r="N35" s="8">
        <v>0.2</v>
      </c>
      <c r="O35" s="8">
        <v>0.4</v>
      </c>
      <c r="P35" s="8">
        <v>0.6</v>
      </c>
      <c r="S35" s="21"/>
    </row>
    <row r="36" spans="1:19" x14ac:dyDescent="0.3">
      <c r="A36" s="13"/>
      <c r="D36" s="30"/>
      <c r="E36" s="7">
        <v>60</v>
      </c>
      <c r="F36" s="8">
        <v>-11.2</v>
      </c>
      <c r="G36" s="8">
        <v>-5.6</v>
      </c>
      <c r="H36" s="8">
        <v>-3.1</v>
      </c>
      <c r="I36" s="8">
        <v>-1.8</v>
      </c>
      <c r="J36" s="8">
        <v>-1</v>
      </c>
      <c r="K36" s="8">
        <v>-0.5</v>
      </c>
      <c r="L36" s="8">
        <v>-0.1</v>
      </c>
      <c r="M36" s="8">
        <v>0.1</v>
      </c>
      <c r="N36" s="8">
        <v>0.3</v>
      </c>
      <c r="O36" s="8">
        <v>0.4</v>
      </c>
      <c r="P36" s="8">
        <v>0.6</v>
      </c>
      <c r="S36" s="21"/>
    </row>
    <row r="37" spans="1:19" x14ac:dyDescent="0.3">
      <c r="A37" s="13"/>
      <c r="D37" s="30"/>
      <c r="E37" s="7">
        <v>90</v>
      </c>
      <c r="F37" s="8">
        <v>-11.1</v>
      </c>
      <c r="G37" s="8">
        <v>-5.6</v>
      </c>
      <c r="H37" s="8">
        <v>-3</v>
      </c>
      <c r="I37" s="8">
        <v>-1.7</v>
      </c>
      <c r="J37" s="8">
        <v>-0.9</v>
      </c>
      <c r="K37" s="8">
        <v>-0.4</v>
      </c>
      <c r="L37" s="8">
        <v>0</v>
      </c>
      <c r="M37" s="8">
        <v>0.2</v>
      </c>
      <c r="N37" s="8">
        <v>0.4</v>
      </c>
      <c r="O37" s="8">
        <v>0.5</v>
      </c>
      <c r="P37" s="8">
        <v>0.7</v>
      </c>
      <c r="S37" s="21"/>
    </row>
    <row r="38" spans="1:19" x14ac:dyDescent="0.3">
      <c r="A38" s="13"/>
      <c r="S38" s="21"/>
    </row>
    <row r="39" spans="1:19" x14ac:dyDescent="0.3">
      <c r="A39" s="13"/>
      <c r="E39" s="31" t="s">
        <v>10</v>
      </c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S39" s="21"/>
    </row>
    <row r="40" spans="1:19" ht="14.5" thickBot="1" x14ac:dyDescent="0.35">
      <c r="A40" s="13"/>
      <c r="D40" s="29" t="s">
        <v>12</v>
      </c>
      <c r="E40" s="6" t="s">
        <v>2</v>
      </c>
      <c r="F40" s="10">
        <v>0.3</v>
      </c>
      <c r="G40" s="10">
        <v>0.4</v>
      </c>
      <c r="H40" s="10">
        <v>0.5</v>
      </c>
      <c r="I40" s="10">
        <v>0.6</v>
      </c>
      <c r="J40" s="10">
        <v>0.7</v>
      </c>
      <c r="K40" s="10">
        <v>0.8</v>
      </c>
      <c r="L40" s="10">
        <v>0.9</v>
      </c>
      <c r="M40" s="10">
        <v>1</v>
      </c>
      <c r="N40" s="10">
        <v>1.1000000000000001</v>
      </c>
      <c r="O40" s="10">
        <v>1.2</v>
      </c>
      <c r="P40" s="10">
        <v>1.5</v>
      </c>
      <c r="S40" s="21"/>
    </row>
    <row r="41" spans="1:19" x14ac:dyDescent="0.3">
      <c r="A41" s="13"/>
      <c r="D41" s="30"/>
      <c r="E41" s="7">
        <v>15</v>
      </c>
      <c r="F41" s="8">
        <v>-18</v>
      </c>
      <c r="G41" s="8">
        <v>-9.4</v>
      </c>
      <c r="H41" s="8">
        <v>-5.5</v>
      </c>
      <c r="I41" s="8">
        <v>-3.4</v>
      </c>
      <c r="J41" s="8">
        <v>-2.2000000000000002</v>
      </c>
      <c r="K41" s="8">
        <v>-1.4</v>
      </c>
      <c r="L41" s="8">
        <v>-0.9</v>
      </c>
      <c r="M41" s="8">
        <v>-0.5</v>
      </c>
      <c r="N41" s="8">
        <v>-0.2</v>
      </c>
      <c r="O41" s="8">
        <v>0</v>
      </c>
      <c r="P41" s="8">
        <v>0.3</v>
      </c>
      <c r="S41" s="21"/>
    </row>
    <row r="42" spans="1:19" x14ac:dyDescent="0.3">
      <c r="A42" s="13"/>
      <c r="D42" s="30"/>
      <c r="E42" s="7">
        <v>30</v>
      </c>
      <c r="F42" s="8">
        <v>-17.899999999999999</v>
      </c>
      <c r="G42" s="8">
        <v>-9.4</v>
      </c>
      <c r="H42" s="8">
        <v>-5.5</v>
      </c>
      <c r="I42" s="8">
        <v>-3.4</v>
      </c>
      <c r="J42" s="8">
        <v>-2.2000000000000002</v>
      </c>
      <c r="K42" s="8">
        <v>-1.4</v>
      </c>
      <c r="L42" s="8">
        <v>-0.9</v>
      </c>
      <c r="M42" s="8">
        <v>-0.5</v>
      </c>
      <c r="N42" s="8">
        <v>-0.2</v>
      </c>
      <c r="O42" s="8">
        <v>0</v>
      </c>
      <c r="P42" s="8">
        <v>0.4</v>
      </c>
      <c r="S42" s="21"/>
    </row>
    <row r="43" spans="1:19" x14ac:dyDescent="0.3">
      <c r="A43" s="13"/>
      <c r="D43" s="30"/>
      <c r="E43" s="7">
        <v>45</v>
      </c>
      <c r="F43" s="8">
        <v>-17.899999999999999</v>
      </c>
      <c r="G43" s="8">
        <v>-9.4</v>
      </c>
      <c r="H43" s="8">
        <v>-5.5</v>
      </c>
      <c r="I43" s="8">
        <v>-3.4</v>
      </c>
      <c r="J43" s="8">
        <v>-2.1</v>
      </c>
      <c r="K43" s="8">
        <v>-1.4</v>
      </c>
      <c r="L43" s="8">
        <v>-0.8</v>
      </c>
      <c r="M43" s="8">
        <v>-0.5</v>
      </c>
      <c r="N43" s="8">
        <v>-0.2</v>
      </c>
      <c r="O43" s="8">
        <v>0</v>
      </c>
      <c r="P43" s="8">
        <v>0.4</v>
      </c>
      <c r="S43" s="21"/>
    </row>
    <row r="44" spans="1:19" x14ac:dyDescent="0.3">
      <c r="A44" s="13"/>
      <c r="D44" s="30"/>
      <c r="E44" s="7">
        <v>60</v>
      </c>
      <c r="F44" s="8">
        <v>-17.899999999999999</v>
      </c>
      <c r="G44" s="8">
        <v>-9.3000000000000007</v>
      </c>
      <c r="H44" s="8">
        <v>-5.4</v>
      </c>
      <c r="I44" s="8">
        <v>-3.3</v>
      </c>
      <c r="J44" s="8">
        <v>-2.1</v>
      </c>
      <c r="K44" s="8">
        <v>-1.3</v>
      </c>
      <c r="L44" s="8">
        <v>-0.8</v>
      </c>
      <c r="M44" s="8">
        <v>-0.4</v>
      </c>
      <c r="N44" s="8">
        <v>-0.1</v>
      </c>
      <c r="O44" s="8">
        <v>0.1</v>
      </c>
      <c r="P44" s="8">
        <v>0.4</v>
      </c>
      <c r="S44" s="21"/>
    </row>
    <row r="45" spans="1:19" x14ac:dyDescent="0.3">
      <c r="A45" s="13"/>
      <c r="D45" s="30"/>
      <c r="E45" s="7">
        <v>90</v>
      </c>
      <c r="F45" s="8">
        <v>-15.5</v>
      </c>
      <c r="G45" s="8">
        <v>-8</v>
      </c>
      <c r="H45" s="8">
        <v>-4.5</v>
      </c>
      <c r="I45" s="8">
        <v>-2.7</v>
      </c>
      <c r="J45" s="8">
        <v>-1.6</v>
      </c>
      <c r="K45" s="8">
        <v>-0.9</v>
      </c>
      <c r="L45" s="8">
        <v>-0.5</v>
      </c>
      <c r="M45" s="8">
        <v>-0.1</v>
      </c>
      <c r="N45" s="8">
        <v>0.1</v>
      </c>
      <c r="O45" s="8">
        <v>0.3</v>
      </c>
      <c r="P45" s="8">
        <v>0.6</v>
      </c>
      <c r="S45" s="21"/>
    </row>
    <row r="46" spans="1:19" x14ac:dyDescent="0.3">
      <c r="A46" s="13"/>
      <c r="S46" s="21"/>
    </row>
    <row r="47" spans="1:19" x14ac:dyDescent="0.3">
      <c r="A47" s="13"/>
      <c r="E47" s="31" t="s">
        <v>10</v>
      </c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S47" s="21"/>
    </row>
    <row r="48" spans="1:19" ht="14.5" thickBot="1" x14ac:dyDescent="0.35">
      <c r="A48" s="13"/>
      <c r="D48" s="29" t="s">
        <v>13</v>
      </c>
      <c r="E48" s="6" t="s">
        <v>2</v>
      </c>
      <c r="F48" s="10">
        <v>0.3</v>
      </c>
      <c r="G48" s="10">
        <v>0.4</v>
      </c>
      <c r="H48" s="10">
        <v>0.5</v>
      </c>
      <c r="I48" s="10">
        <v>0.6</v>
      </c>
      <c r="J48" s="10">
        <v>0.7</v>
      </c>
      <c r="K48" s="10">
        <v>0.8</v>
      </c>
      <c r="L48" s="10">
        <v>0.9</v>
      </c>
      <c r="M48" s="10">
        <v>1</v>
      </c>
      <c r="N48" s="10">
        <v>1.1000000000000001</v>
      </c>
      <c r="O48" s="10">
        <v>1.2</v>
      </c>
      <c r="P48" s="10">
        <v>1.5</v>
      </c>
      <c r="S48" s="21"/>
    </row>
    <row r="49" spans="1:19" x14ac:dyDescent="0.3">
      <c r="A49" s="13"/>
      <c r="D49" s="30"/>
      <c r="E49" s="7">
        <v>15</v>
      </c>
      <c r="F49" s="8">
        <v>-29.9</v>
      </c>
      <c r="G49" s="8">
        <v>-16</v>
      </c>
      <c r="H49" s="8">
        <v>-9.6</v>
      </c>
      <c r="I49" s="8">
        <v>-6.2</v>
      </c>
      <c r="J49" s="8">
        <v>-4.2</v>
      </c>
      <c r="K49" s="8">
        <v>-2.9</v>
      </c>
      <c r="L49" s="8">
        <v>-2.1</v>
      </c>
      <c r="M49" s="8">
        <v>-1.4</v>
      </c>
      <c r="N49" s="8">
        <v>-1</v>
      </c>
      <c r="O49" s="8">
        <v>-0.7</v>
      </c>
      <c r="P49" s="8">
        <v>0</v>
      </c>
      <c r="S49" s="21"/>
    </row>
    <row r="50" spans="1:19" x14ac:dyDescent="0.3">
      <c r="A50" s="13"/>
      <c r="D50" s="30"/>
      <c r="E50" s="7">
        <v>30</v>
      </c>
      <c r="F50" s="8">
        <v>-29.9</v>
      </c>
      <c r="G50" s="8">
        <v>-16</v>
      </c>
      <c r="H50" s="8">
        <v>-9.6</v>
      </c>
      <c r="I50" s="8">
        <v>-6.2</v>
      </c>
      <c r="J50" s="8">
        <v>-4.2</v>
      </c>
      <c r="K50" s="8">
        <v>-2.9</v>
      </c>
      <c r="L50" s="8">
        <v>-2</v>
      </c>
      <c r="M50" s="8">
        <v>-1.4</v>
      </c>
      <c r="N50" s="8">
        <v>-1</v>
      </c>
      <c r="O50" s="8">
        <v>-0.6</v>
      </c>
      <c r="P50" s="8">
        <v>0</v>
      </c>
      <c r="S50" s="21"/>
    </row>
    <row r="51" spans="1:19" x14ac:dyDescent="0.3">
      <c r="A51" s="13"/>
      <c r="D51" s="30"/>
      <c r="E51" s="7">
        <v>45</v>
      </c>
      <c r="F51" s="8">
        <v>-29.8</v>
      </c>
      <c r="G51" s="8">
        <v>-15.9</v>
      </c>
      <c r="H51" s="8">
        <v>-9.6</v>
      </c>
      <c r="I51" s="8">
        <v>-6.2</v>
      </c>
      <c r="J51" s="8">
        <v>-4.2</v>
      </c>
      <c r="K51" s="8">
        <v>-2.9</v>
      </c>
      <c r="L51" s="8">
        <v>-2</v>
      </c>
      <c r="M51" s="8">
        <v>-1.4</v>
      </c>
      <c r="N51" s="8">
        <v>-0.9</v>
      </c>
      <c r="O51" s="8">
        <v>-0.6</v>
      </c>
      <c r="P51" s="8">
        <v>0</v>
      </c>
      <c r="S51" s="21"/>
    </row>
    <row r="52" spans="1:19" x14ac:dyDescent="0.3">
      <c r="A52" s="13"/>
      <c r="D52" s="30"/>
      <c r="E52" s="7">
        <v>60</v>
      </c>
      <c r="F52" s="8">
        <v>-28.7</v>
      </c>
      <c r="G52" s="8">
        <v>-15.3</v>
      </c>
      <c r="H52" s="8">
        <v>-9.1</v>
      </c>
      <c r="I52" s="8">
        <v>-5.9</v>
      </c>
      <c r="J52" s="8">
        <v>-3.9</v>
      </c>
      <c r="K52" s="8">
        <v>-2.7</v>
      </c>
      <c r="L52" s="8">
        <v>-1.8</v>
      </c>
      <c r="M52" s="8">
        <v>-1.2</v>
      </c>
      <c r="N52" s="8">
        <v>-0.8</v>
      </c>
      <c r="O52" s="8">
        <v>-0.5</v>
      </c>
      <c r="P52" s="8">
        <v>0.1</v>
      </c>
      <c r="S52" s="21"/>
    </row>
    <row r="53" spans="1:19" x14ac:dyDescent="0.3">
      <c r="A53" s="13"/>
      <c r="D53" s="30"/>
      <c r="E53" s="7">
        <v>90</v>
      </c>
      <c r="F53" s="8">
        <v>-26.9</v>
      </c>
      <c r="G53" s="8">
        <v>-14.2</v>
      </c>
      <c r="H53" s="8">
        <v>-8.4</v>
      </c>
      <c r="I53" s="8">
        <v>-5.4</v>
      </c>
      <c r="J53" s="8">
        <v>-3.5</v>
      </c>
      <c r="K53" s="8">
        <v>-2.2999999999999998</v>
      </c>
      <c r="L53" s="8">
        <v>-1.5</v>
      </c>
      <c r="M53" s="8">
        <v>-1</v>
      </c>
      <c r="N53" s="8">
        <v>-0.6</v>
      </c>
      <c r="O53" s="8">
        <v>-0.3</v>
      </c>
      <c r="P53" s="8">
        <v>0.3</v>
      </c>
      <c r="S53" s="21"/>
    </row>
    <row r="54" spans="1:19" x14ac:dyDescent="0.3">
      <c r="A54" s="15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</row>
  </sheetData>
  <mergeCells count="12">
    <mergeCell ref="D32:D37"/>
    <mergeCell ref="D40:D45"/>
    <mergeCell ref="D48:D53"/>
    <mergeCell ref="E4:P4"/>
    <mergeCell ref="E12:P12"/>
    <mergeCell ref="E20:P20"/>
    <mergeCell ref="E31:P31"/>
    <mergeCell ref="E39:P39"/>
    <mergeCell ref="E47:P47"/>
    <mergeCell ref="D5:D10"/>
    <mergeCell ref="D13:D18"/>
    <mergeCell ref="D21:D26"/>
  </mergeCells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Zetawerte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Druckverlust-Berechung</dc:title>
  <dc:subject>Lüftung</dc:subject>
  <dc:creator>Emre Özgöller</dc:creator>
  <cp:lastModifiedBy>Emre Özgöller</cp:lastModifiedBy>
  <cp:lastPrinted>2026-07-02T18:35:13Z</cp:lastPrinted>
  <dcterms:created xsi:type="dcterms:W3CDTF">2026-06-30T07:48:37Z</dcterms:created>
  <dcterms:modified xsi:type="dcterms:W3CDTF">2026-07-03T20:58:44Z</dcterms:modified>
  <cp:contentStatus>Vorlage</cp:contentStatus>
</cp:coreProperties>
</file>