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uebergang_klein auf gross\"/>
    </mc:Choice>
  </mc:AlternateContent>
  <xr:revisionPtr revIDLastSave="0" documentId="13_ncr:1_{D329C729-4CD8-484B-BF31-E1AF5E793CA7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2" l="1" a="1"/>
  <c r="S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<sst xmlns="http://schemas.openxmlformats.org/spreadsheetml/2006/main" count="10" uniqueCount="10">
  <si>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Brechnung</t>
  </si>
  <si>
    <t>Summe</t>
  </si>
  <si>
    <t>α (°)</t>
  </si>
  <si>
    <t>Zetawerte</t>
  </si>
  <si>
    <t>β (°)</t>
  </si>
  <si>
    <t>ηD</t>
  </si>
  <si>
    <t>A1/A2</t>
  </si>
  <si>
    <t>A1</t>
  </si>
  <si>
    <t>A2</t>
  </si>
  <si>
    <t>Übergang klein auf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</si>
</sst>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C4C7C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Stand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5</xdr:row>
      <xdr:rowOff>63500</xdr:rowOff>
    </xdr:from>
    <xdr:to>
      <xdr:col>1</xdr:col>
      <xdr:colOff>756634</xdr:colOff>
      <xdr:row>15</xdr:row>
      <xdr:rowOff>39244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1BA522BE-0EAE-EC1E-4F0B-E1A4A38D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8661400"/>
          <a:ext cx="1474184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54DE47-4C8C-46F7-8382-78765A6AAB85}" name="Tabelle4" displayName="Tabelle4" ref="D4:D18" totalsRowShown="0" headerRowDxfId="5" dataDxfId="3" headerRowBorderDxfId="4" tableBorderDxfId="2" totalsRowBorderDxfId="1">
  <autoFilter ref="D4:D18" xr:uid="{7E54DE47-4C8C-46F7-8382-78765A6AAB85}"/>
  <tableColumns count="1">
    <tableColumn id="1" xr3:uid="{6A45F0DC-95CD-492E-858E-20A58DFA8880}" name="β (°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9"/>
  <sheetViews>
    <sheetView tabSelected="1" zoomScale="65" zoomScaleNormal="115" workbookViewId="0">
      <selection activeCell="W18" sqref="W18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7" customWidth="1"/>
    <col min="20" max="16384" width="10.90625" style="1"/>
  </cols>
  <sheetData>
    <row r="1" spans="1:19" x14ac:dyDescent="0.3">
      <c r="A1" s="8" t="s">
        <v>3</v>
      </c>
    </row>
    <row r="3" spans="1:19" ht="14.5" thickBot="1" x14ac:dyDescent="0.35">
      <c r="A3" s="9"/>
      <c r="B3" s="10"/>
      <c r="C3" s="10"/>
      <c r="D3" s="10"/>
      <c r="E3" s="19" t="s">
        <v>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10"/>
      <c r="Q3" s="10"/>
      <c r="R3" s="10"/>
      <c r="S3" s="11"/>
    </row>
    <row r="4" spans="1:19" ht="14.5" thickBot="1" x14ac:dyDescent="0.35">
      <c r="A4" s="12" t="s">
        <v>9</v>
      </c>
      <c r="D4" s="5" t="s">
        <v>4</v>
      </c>
      <c r="E4" s="2">
        <v>0</v>
      </c>
      <c r="F4" s="2">
        <v>0.05</v>
      </c>
      <c r="G4" s="2">
        <v>7.4999999999999997E-2</v>
      </c>
      <c r="H4" s="2">
        <v>0.1</v>
      </c>
      <c r="I4" s="2">
        <v>0.15</v>
      </c>
      <c r="J4" s="2">
        <v>0.2</v>
      </c>
      <c r="K4" s="2">
        <v>0.25</v>
      </c>
      <c r="L4" s="2">
        <v>0.3</v>
      </c>
      <c r="M4" s="2">
        <v>0.4</v>
      </c>
      <c r="N4" s="2">
        <v>0.5</v>
      </c>
      <c r="O4" s="2">
        <v>0.6</v>
      </c>
      <c r="P4" s="2" t="s">
        <v>5</v>
      </c>
      <c r="R4" s="1" t="s">
        <v>0</v>
      </c>
      <c r="S4" s="13"/>
    </row>
    <row r="5" spans="1:19" ht="14.5" thickBot="1" x14ac:dyDescent="0.35">
      <c r="A5" s="12"/>
      <c r="D5" s="4">
        <v>3</v>
      </c>
      <c r="E5" s="3">
        <v>0.03</v>
      </c>
      <c r="F5" s="3">
        <v>0.03</v>
      </c>
      <c r="G5" s="3">
        <v>0.03</v>
      </c>
      <c r="H5" s="3">
        <v>0.03</v>
      </c>
      <c r="I5" s="3">
        <v>0.02</v>
      </c>
      <c r="J5" s="3">
        <v>0.02</v>
      </c>
      <c r="K5" s="3">
        <v>0.02</v>
      </c>
      <c r="L5" s="3">
        <v>0.02</v>
      </c>
      <c r="M5" s="3">
        <v>0.01</v>
      </c>
      <c r="N5" s="3">
        <v>0.01</v>
      </c>
      <c r="O5" s="3">
        <v>0.01</v>
      </c>
      <c r="P5" s="3">
        <v>0.97</v>
      </c>
      <c r="R5" s="1" t="s">
        <v>2</v>
      </c>
      <c r="S5" s="14">
        <v>40</v>
      </c>
    </row>
    <row r="6" spans="1:19" ht="14.5" thickBot="1" x14ac:dyDescent="0.35">
      <c r="A6" s="12"/>
      <c r="D6" s="4">
        <v>6</v>
      </c>
      <c r="E6" s="3">
        <v>0.08</v>
      </c>
      <c r="F6" s="3">
        <v>7.0000000000000007E-2</v>
      </c>
      <c r="G6" s="3">
        <v>7.0000000000000007E-2</v>
      </c>
      <c r="H6" s="3">
        <v>7.0000000000000007E-2</v>
      </c>
      <c r="I6" s="3">
        <v>0.06</v>
      </c>
      <c r="J6" s="3">
        <v>0.05</v>
      </c>
      <c r="K6" s="3">
        <v>0.05</v>
      </c>
      <c r="L6" s="3">
        <v>0.04</v>
      </c>
      <c r="M6" s="3">
        <v>0.03</v>
      </c>
      <c r="N6" s="3">
        <v>0.02</v>
      </c>
      <c r="O6" s="3">
        <v>0.01</v>
      </c>
      <c r="P6" s="3">
        <v>0.92</v>
      </c>
      <c r="R6" s="1" t="s">
        <v>7</v>
      </c>
      <c r="S6" s="14">
        <v>0.125</v>
      </c>
    </row>
    <row r="7" spans="1:19" ht="14.5" thickBot="1" x14ac:dyDescent="0.35">
      <c r="A7" s="12"/>
      <c r="D7" s="4">
        <v>8</v>
      </c>
      <c r="E7" s="3">
        <v>0.11</v>
      </c>
      <c r="F7" s="3">
        <v>0.1</v>
      </c>
      <c r="G7" s="3">
        <v>0.09</v>
      </c>
      <c r="H7" s="3">
        <v>0.09</v>
      </c>
      <c r="I7" s="3">
        <v>0.08</v>
      </c>
      <c r="J7" s="3">
        <v>7.0000000000000007E-2</v>
      </c>
      <c r="K7" s="3">
        <v>0.06</v>
      </c>
      <c r="L7" s="3">
        <v>0.05</v>
      </c>
      <c r="M7" s="3">
        <v>0.04</v>
      </c>
      <c r="N7" s="3">
        <v>0.03</v>
      </c>
      <c r="O7" s="3">
        <v>0.02</v>
      </c>
      <c r="P7" s="3">
        <v>0.89</v>
      </c>
      <c r="R7" s="1" t="s">
        <v>8</v>
      </c>
      <c r="S7" s="14">
        <v>0.25</v>
      </c>
    </row>
    <row r="8" spans="1:19" ht="14.5" thickBot="1" x14ac:dyDescent="0.35">
      <c r="A8" s="12"/>
      <c r="D8" s="4">
        <v>10</v>
      </c>
      <c r="E8" s="3">
        <v>0.15</v>
      </c>
      <c r="F8" s="3">
        <v>0.14000000000000001</v>
      </c>
      <c r="G8" s="3">
        <v>0.13</v>
      </c>
      <c r="H8" s="3">
        <v>0.12</v>
      </c>
      <c r="I8" s="3">
        <v>0.11</v>
      </c>
      <c r="J8" s="3">
        <v>0.1</v>
      </c>
      <c r="K8" s="3">
        <v>0.08</v>
      </c>
      <c r="L8" s="3">
        <v>7.0000000000000007E-2</v>
      </c>
      <c r="M8" s="3">
        <v>0.06</v>
      </c>
      <c r="N8" s="3">
        <v>0.04</v>
      </c>
      <c r="O8" s="3">
        <v>0.03</v>
      </c>
      <c r="P8" s="3">
        <v>0.85</v>
      </c>
      <c r="R8" s="1" t="s">
        <v>1</v>
      </c>
      <c r="S8" s="15" cm="1">
        <f t="array" ref="S8">IFERROR(_xlfn.XLOOKUP(S5, Tabelle4[β (°)], _xlfn.XLOOKUP(S6/S7, E4:O4, E5:O18, 0, 1), 0, 1), 0)</f>
        <v>0.23</v>
      </c>
    </row>
    <row r="9" spans="1:19" ht="14.5" thickBot="1" x14ac:dyDescent="0.35">
      <c r="A9" s="12"/>
      <c r="D9" s="4">
        <v>12</v>
      </c>
      <c r="E9" s="3">
        <v>0.19</v>
      </c>
      <c r="F9" s="3">
        <v>0.16</v>
      </c>
      <c r="G9" s="3">
        <v>0.16</v>
      </c>
      <c r="H9" s="3">
        <v>0.15</v>
      </c>
      <c r="I9" s="3">
        <v>0.14000000000000001</v>
      </c>
      <c r="J9" s="3">
        <v>0.12</v>
      </c>
      <c r="K9" s="3">
        <v>0.1</v>
      </c>
      <c r="L9" s="3">
        <v>0.09</v>
      </c>
      <c r="M9" s="3">
        <v>7.0000000000000007E-2</v>
      </c>
      <c r="N9" s="3">
        <v>0.05</v>
      </c>
      <c r="O9" s="3">
        <v>0.03</v>
      </c>
      <c r="P9" s="3">
        <v>0.81</v>
      </c>
      <c r="S9" s="13"/>
    </row>
    <row r="10" spans="1:19" ht="14.5" thickBot="1" x14ac:dyDescent="0.35">
      <c r="A10" s="12"/>
      <c r="D10" s="4">
        <v>14</v>
      </c>
      <c r="E10" s="3">
        <v>0.23</v>
      </c>
      <c r="F10" s="3">
        <v>0.2</v>
      </c>
      <c r="G10" s="3">
        <v>0.19</v>
      </c>
      <c r="H10" s="3">
        <v>0.18</v>
      </c>
      <c r="I10" s="3">
        <v>0.17</v>
      </c>
      <c r="J10" s="3">
        <v>0.15</v>
      </c>
      <c r="K10" s="3">
        <v>0.13</v>
      </c>
      <c r="L10" s="3">
        <v>0.11</v>
      </c>
      <c r="M10" s="3">
        <v>0.08</v>
      </c>
      <c r="N10" s="3">
        <v>0.06</v>
      </c>
      <c r="O10" s="3">
        <v>0.04</v>
      </c>
      <c r="P10" s="3">
        <v>0.77</v>
      </c>
      <c r="S10" s="13"/>
    </row>
    <row r="11" spans="1:19" ht="14.5" thickBot="1" x14ac:dyDescent="0.35">
      <c r="A11" s="12"/>
      <c r="D11" s="4">
        <v>16</v>
      </c>
      <c r="E11" s="3">
        <v>0.27</v>
      </c>
      <c r="F11" s="3">
        <v>0.24</v>
      </c>
      <c r="G11" s="3">
        <v>0.23</v>
      </c>
      <c r="H11" s="3">
        <v>0.22</v>
      </c>
      <c r="I11" s="3">
        <v>0.2</v>
      </c>
      <c r="J11" s="3">
        <v>0.17</v>
      </c>
      <c r="K11" s="3">
        <v>0.15</v>
      </c>
      <c r="L11" s="3">
        <v>0.13</v>
      </c>
      <c r="M11" s="3">
        <v>0.1</v>
      </c>
      <c r="N11" s="3">
        <v>7.0000000000000007E-2</v>
      </c>
      <c r="O11" s="3">
        <v>0.05</v>
      </c>
      <c r="P11" s="3">
        <v>0.73</v>
      </c>
      <c r="S11" s="13"/>
    </row>
    <row r="12" spans="1:19" ht="14.5" thickBot="1" x14ac:dyDescent="0.35">
      <c r="A12" s="12"/>
      <c r="D12" s="4">
        <v>20</v>
      </c>
      <c r="E12" s="3">
        <v>0.36</v>
      </c>
      <c r="F12" s="3">
        <v>0.32</v>
      </c>
      <c r="G12" s="3">
        <v>0.3</v>
      </c>
      <c r="H12" s="3">
        <v>0.28999999999999998</v>
      </c>
      <c r="I12" s="3">
        <v>0.26</v>
      </c>
      <c r="J12" s="3">
        <v>0.23</v>
      </c>
      <c r="K12" s="3">
        <v>0.2</v>
      </c>
      <c r="L12" s="3">
        <v>0.18</v>
      </c>
      <c r="M12" s="3">
        <v>0.13</v>
      </c>
      <c r="N12" s="3">
        <v>0.09</v>
      </c>
      <c r="O12" s="3">
        <v>0.06</v>
      </c>
      <c r="P12" s="3">
        <v>0.64</v>
      </c>
      <c r="S12" s="13"/>
    </row>
    <row r="13" spans="1:19" ht="14.5" thickBot="1" x14ac:dyDescent="0.35">
      <c r="A13" s="12"/>
      <c r="D13" s="4">
        <v>24</v>
      </c>
      <c r="E13" s="3">
        <v>0.47</v>
      </c>
      <c r="F13" s="3">
        <v>0.42</v>
      </c>
      <c r="G13" s="3">
        <v>0.4</v>
      </c>
      <c r="H13" s="3">
        <v>0.38</v>
      </c>
      <c r="I13" s="3">
        <v>0.34</v>
      </c>
      <c r="J13" s="3">
        <v>0.3</v>
      </c>
      <c r="K13" s="3">
        <v>0.26</v>
      </c>
      <c r="L13" s="3">
        <v>0.23</v>
      </c>
      <c r="M13" s="3">
        <v>0.17</v>
      </c>
      <c r="N13" s="3">
        <v>0.12</v>
      </c>
      <c r="O13" s="3">
        <v>0.08</v>
      </c>
      <c r="P13" s="3">
        <v>0.53</v>
      </c>
      <c r="S13" s="13"/>
    </row>
    <row r="14" spans="1:19" ht="14.5" thickBot="1" x14ac:dyDescent="0.35">
      <c r="A14" s="12"/>
      <c r="D14" s="4">
        <v>30</v>
      </c>
      <c r="E14" s="3">
        <v>0.65</v>
      </c>
      <c r="F14" s="3">
        <v>0.57999999999999996</v>
      </c>
      <c r="G14" s="3">
        <v>0.55000000000000004</v>
      </c>
      <c r="H14" s="3">
        <v>0.52</v>
      </c>
      <c r="I14" s="3">
        <v>0.46</v>
      </c>
      <c r="J14" s="3">
        <v>0.41</v>
      </c>
      <c r="K14" s="3">
        <v>0.35</v>
      </c>
      <c r="L14" s="3">
        <v>0.31</v>
      </c>
      <c r="M14" s="3">
        <v>0.23</v>
      </c>
      <c r="N14" s="3">
        <v>0.16</v>
      </c>
      <c r="O14" s="3">
        <v>0.1</v>
      </c>
      <c r="P14" s="3">
        <v>0.36</v>
      </c>
      <c r="S14" s="13"/>
    </row>
    <row r="15" spans="1:19" ht="14.5" thickBot="1" x14ac:dyDescent="0.35">
      <c r="A15" s="12"/>
      <c r="D15" s="4">
        <v>40</v>
      </c>
      <c r="E15" s="3">
        <v>0.92</v>
      </c>
      <c r="F15" s="3">
        <v>0.83</v>
      </c>
      <c r="G15" s="3">
        <v>0.79</v>
      </c>
      <c r="H15" s="3">
        <v>0.75</v>
      </c>
      <c r="I15" s="3">
        <v>0.67</v>
      </c>
      <c r="J15" s="3">
        <v>0.59</v>
      </c>
      <c r="K15" s="3">
        <v>0.47</v>
      </c>
      <c r="L15" s="3">
        <v>0.4</v>
      </c>
      <c r="M15" s="3">
        <v>0.33</v>
      </c>
      <c r="N15" s="3">
        <v>0.23</v>
      </c>
      <c r="O15" s="3">
        <v>0.15</v>
      </c>
      <c r="P15" s="3">
        <v>0.08</v>
      </c>
      <c r="S15" s="13"/>
    </row>
    <row r="16" spans="1:19" ht="14.5" thickBot="1" x14ac:dyDescent="0.35">
      <c r="A16" s="12"/>
      <c r="D16" s="4">
        <v>60</v>
      </c>
      <c r="E16" s="3">
        <v>1.1499999999999999</v>
      </c>
      <c r="F16" s="3">
        <v>1.04</v>
      </c>
      <c r="G16" s="3">
        <v>0.99</v>
      </c>
      <c r="H16" s="3">
        <v>0.93</v>
      </c>
      <c r="I16" s="3">
        <v>0.84</v>
      </c>
      <c r="J16" s="3">
        <v>0.74</v>
      </c>
      <c r="K16" s="3">
        <v>0.65</v>
      </c>
      <c r="L16" s="3">
        <v>0.56999999999999995</v>
      </c>
      <c r="M16" s="3">
        <v>0.41</v>
      </c>
      <c r="N16" s="3">
        <v>0.28999999999999998</v>
      </c>
      <c r="O16" s="3">
        <v>0.18</v>
      </c>
      <c r="P16" s="3"/>
      <c r="S16" s="13"/>
    </row>
    <row r="17" spans="1:19" ht="14.5" thickBot="1" x14ac:dyDescent="0.35">
      <c r="A17" s="12"/>
      <c r="D17" s="4">
        <v>90</v>
      </c>
      <c r="E17" s="3">
        <v>1.1000000000000001</v>
      </c>
      <c r="F17" s="3">
        <v>1</v>
      </c>
      <c r="G17" s="3">
        <v>0.95</v>
      </c>
      <c r="H17" s="3">
        <v>0.89</v>
      </c>
      <c r="I17" s="3">
        <v>0.79</v>
      </c>
      <c r="J17" s="3">
        <v>0.7</v>
      </c>
      <c r="K17" s="3">
        <v>0.62</v>
      </c>
      <c r="L17" s="3">
        <v>0.54</v>
      </c>
      <c r="M17" s="3">
        <v>0.39</v>
      </c>
      <c r="N17" s="3">
        <v>0.28000000000000003</v>
      </c>
      <c r="O17" s="3">
        <v>0.17</v>
      </c>
      <c r="P17" s="3"/>
      <c r="S17" s="13"/>
    </row>
    <row r="18" spans="1:19" ht="14.5" thickBot="1" x14ac:dyDescent="0.35">
      <c r="A18" s="12"/>
      <c r="D18" s="6">
        <v>180</v>
      </c>
      <c r="E18" s="3">
        <v>1.02</v>
      </c>
      <c r="F18" s="3">
        <v>0.92</v>
      </c>
      <c r="G18" s="3">
        <v>0.88</v>
      </c>
      <c r="H18" s="3">
        <v>0.83</v>
      </c>
      <c r="I18" s="3">
        <v>0.74</v>
      </c>
      <c r="J18" s="3">
        <v>0.65</v>
      </c>
      <c r="K18" s="3">
        <v>0.57999999999999996</v>
      </c>
      <c r="L18" s="3">
        <v>0.5</v>
      </c>
      <c r="M18" s="3">
        <v>0.37</v>
      </c>
      <c r="N18" s="3">
        <v>0.26</v>
      </c>
      <c r="O18" s="3">
        <v>0.16</v>
      </c>
      <c r="P18" s="3"/>
      <c r="S18" s="13"/>
    </row>
    <row r="19" spans="1:19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</row>
  </sheetData>
  <mergeCells count="1">
    <mergeCell ref="E3:O3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2026-07-03T21:07:21Z</dcterms:modified>
  <cp:contentStatus>Vorlage</cp:contentStatus>
</cp:coreProperties>
</file>