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kruemmerabzweig_1_durchgang\"/>
    </mc:Choice>
  </mc:AlternateContent>
  <xr:revisionPtr revIDLastSave="0" documentId="13_ncr:1_{30456449-D6F4-4939-B07F-1581493EE7FC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Kruemmerabzweig_Komple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" i="1" l="1" a="1"/>
  <c r="W16" i="1" s="1"/>
  <c r="W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<sst xmlns="http://schemas.openxmlformats.org/spreadsheetml/2006/main" count="14" uniqueCount="14">
  <si>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Krümmerabzweig: Verlustbeiwerte (Vollständige Geometrie-Prüfung)</t>
  </si>
  <si>
    <t>Eingabe &amp; Berechnung</t>
  </si>
  <si>
    <t>AA/AD</t>
  </si>
  <si>
    <t>AD/A</t>
  </si>
  <si>
    <t>AA/A</t>
  </si>
  <si>
    <t>Geschwindigkeit w</t>
  </si>
  <si>
    <t>Geschwindigkeit wD</t>
  </si>
  <si>
    <t>Eingabe AA/AD</t>
  </si>
  <si>
    <t>Eingabe AD/A</t>
  </si>
  <si>
    <t>Eingabe AA/A</t>
  </si>
  <si>
    <t>Durchgang: ζD – Wert (bezogen auf wD)</t>
  </si>
  <si>
    <t>Verhältnis wD/w</t>
  </si>
  <si>
    <t>Berechnetes wD/w</t>
  </si>
  <si>
    <t>Ergebnis ζD (Durchgang)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</si>
</sst>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  <font>
      <b/>
      <i/>
      <sz val="11"/>
      <name val="Calibri"/>
    </font>
    <font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Border="1"/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0" fillId="0" borderId="0" xfId="0" applyFill="1"/>
    <xf numFmtId="2" fontId="2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17"/>
  <sheetViews>
    <sheetView tabSelected="1" workbookViewId="0">
      <selection activeCell="Z20" sqref="Z20"/>
    </sheetView>
  </sheetViews>
  <sheetFormatPr baseColWidth="10" defaultColWidth="8.7265625" defaultRowHeight="14.5" x14ac:dyDescent="0.35"/>
  <cols>
    <col min="1" max="1" width="3" customWidth="1"/>
    <col min="2" max="4" width="8" customWidth="1"/>
    <col min="5" max="19" width="6" customWidth="1"/>
    <col min="20" max="20" width="4" customWidth="1"/>
    <col min="21" max="21" width="24" customWidth="1"/>
    <col min="22" max="22" width="3" customWidth="1"/>
    <col min="23" max="23" width="12" customWidth="1"/>
  </cols>
  <sheetData>
    <row r="2" spans="2:23" ht="18.5" x14ac:dyDescent="0.45">
      <c r="B2" s="1" t="s">
        <v>0</v>
      </c>
    </row>
    <row r="4" spans="2:23" x14ac:dyDescent="0.35">
      <c r="B4" s="13"/>
      <c r="C4" s="14"/>
      <c r="D4" s="14"/>
      <c r="E4" s="15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U4" s="10" t="s">
        <v>1</v>
      </c>
      <c r="V4" s="11"/>
      <c r="W4" s="11"/>
    </row>
    <row r="5" spans="2:23" x14ac:dyDescent="0.3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U5" s="4" t="s">
        <v>5</v>
      </c>
      <c r="W5" s="5">
        <v>2</v>
      </c>
    </row>
    <row r="6" spans="2:23" x14ac:dyDescent="0.35">
      <c r="B6" s="17"/>
      <c r="C6" s="17"/>
      <c r="D6" s="17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U6" s="19"/>
      <c r="V6" s="20"/>
      <c r="W6" s="22"/>
    </row>
    <row r="7" spans="2:23" x14ac:dyDescent="0.35">
      <c r="B7" s="17"/>
      <c r="C7" s="17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U7" s="4" t="s">
        <v>6</v>
      </c>
      <c r="W7" s="5">
        <v>1.6</v>
      </c>
    </row>
    <row r="8" spans="2:23" x14ac:dyDescent="0.35">
      <c r="B8" s="17"/>
      <c r="C8" s="17"/>
      <c r="D8" s="17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U8" s="4" t="s">
        <v>7</v>
      </c>
      <c r="W8" s="5">
        <v>1</v>
      </c>
    </row>
    <row r="9" spans="2:23" x14ac:dyDescent="0.35">
      <c r="B9" s="17"/>
      <c r="C9" s="17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U9" s="4" t="s">
        <v>8</v>
      </c>
      <c r="W9" s="5">
        <v>0.5</v>
      </c>
    </row>
    <row r="10" spans="2:23" x14ac:dyDescent="0.35">
      <c r="U10" s="4" t="s">
        <v>9</v>
      </c>
      <c r="W10" s="5">
        <v>0.5</v>
      </c>
    </row>
    <row r="12" spans="2:23" x14ac:dyDescent="0.35">
      <c r="B12" s="2" t="s">
        <v>10</v>
      </c>
      <c r="E12" s="12" t="s">
        <v>11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U12" s="4"/>
      <c r="W12" s="8"/>
    </row>
    <row r="13" spans="2:23" x14ac:dyDescent="0.35">
      <c r="B13" s="3" t="s">
        <v>2</v>
      </c>
      <c r="C13" s="3" t="s">
        <v>3</v>
      </c>
      <c r="D13" s="3" t="s">
        <v>4</v>
      </c>
      <c r="E13" s="3">
        <v>0.1</v>
      </c>
      <c r="F13" s="3">
        <v>0.2</v>
      </c>
      <c r="G13" s="3">
        <v>0.3</v>
      </c>
      <c r="H13" s="3">
        <v>0.4</v>
      </c>
      <c r="I13" s="3">
        <v>0.5</v>
      </c>
      <c r="J13" s="3">
        <v>0.6</v>
      </c>
      <c r="K13" s="3">
        <v>0.7</v>
      </c>
      <c r="L13" s="3">
        <v>0.8</v>
      </c>
      <c r="M13" s="3">
        <v>0.9</v>
      </c>
      <c r="N13" s="3">
        <v>1</v>
      </c>
      <c r="O13" s="3">
        <v>1.2</v>
      </c>
      <c r="P13" s="3">
        <v>1.4</v>
      </c>
      <c r="Q13" s="3">
        <v>1.6</v>
      </c>
      <c r="R13" s="3">
        <v>1.8</v>
      </c>
      <c r="S13" s="3">
        <v>2</v>
      </c>
      <c r="U13" s="4" t="s">
        <v>12</v>
      </c>
      <c r="W13" s="8">
        <f>W7/W5</f>
        <v>0.8</v>
      </c>
    </row>
    <row r="14" spans="2:23" x14ac:dyDescent="0.35">
      <c r="B14" s="6">
        <v>0.5</v>
      </c>
      <c r="C14" s="6">
        <v>1</v>
      </c>
      <c r="D14" s="6">
        <v>0.5</v>
      </c>
      <c r="E14" s="7">
        <v>35.299999999999997</v>
      </c>
      <c r="F14" s="7">
        <v>6.5</v>
      </c>
      <c r="G14" s="7">
        <v>2</v>
      </c>
      <c r="H14" s="7">
        <v>0.7</v>
      </c>
      <c r="I14" s="7">
        <v>0.22</v>
      </c>
      <c r="J14" s="7">
        <v>0.03</v>
      </c>
      <c r="K14" s="7">
        <v>-0.04</v>
      </c>
      <c r="L14" s="7">
        <v>-0.05</v>
      </c>
      <c r="M14" s="7">
        <v>-0.05</v>
      </c>
      <c r="N14" s="7">
        <v>-0.03</v>
      </c>
      <c r="O14" s="7">
        <v>0.02</v>
      </c>
      <c r="P14" s="7">
        <v>7.0000000000000007E-2</v>
      </c>
      <c r="Q14" s="7">
        <v>0.11</v>
      </c>
      <c r="R14" s="7">
        <v>0.15</v>
      </c>
      <c r="S14" s="7">
        <v>0.19</v>
      </c>
    </row>
    <row r="15" spans="2:23" x14ac:dyDescent="0.35">
      <c r="B15" s="6">
        <v>1</v>
      </c>
      <c r="C15" s="6">
        <v>0.5</v>
      </c>
      <c r="D15" s="6">
        <v>0.5</v>
      </c>
      <c r="E15" s="7">
        <v>39.299999999999997</v>
      </c>
      <c r="F15" s="7">
        <v>7.5</v>
      </c>
      <c r="G15" s="7">
        <v>2.5</v>
      </c>
      <c r="H15" s="7">
        <v>1</v>
      </c>
      <c r="I15" s="7">
        <v>0.4</v>
      </c>
      <c r="J15" s="7">
        <v>0.19</v>
      </c>
      <c r="K15" s="7">
        <v>0.09</v>
      </c>
      <c r="L15" s="7">
        <v>0.06</v>
      </c>
      <c r="M15" s="7">
        <v>0.05</v>
      </c>
      <c r="N15" s="7">
        <v>0.06</v>
      </c>
      <c r="O15" s="7">
        <v>0.1</v>
      </c>
      <c r="P15" s="7">
        <v>0.14000000000000001</v>
      </c>
      <c r="Q15" s="7">
        <v>0.18</v>
      </c>
      <c r="R15" s="7">
        <v>0.22</v>
      </c>
      <c r="S15" s="7">
        <v>0.26</v>
      </c>
      <c r="U15" s="19"/>
      <c r="V15" s="20"/>
      <c r="W15" s="21"/>
    </row>
    <row r="16" spans="2:23" x14ac:dyDescent="0.35">
      <c r="B16" s="6">
        <v>1</v>
      </c>
      <c r="C16" s="6">
        <v>1</v>
      </c>
      <c r="D16" s="6">
        <v>1</v>
      </c>
      <c r="E16" s="7">
        <v>38.9</v>
      </c>
      <c r="F16" s="7">
        <v>7.1</v>
      </c>
      <c r="G16" s="7">
        <v>2.2000000000000002</v>
      </c>
      <c r="H16" s="7">
        <v>0.7</v>
      </c>
      <c r="I16" s="7">
        <v>0.23</v>
      </c>
      <c r="J16" s="7">
        <v>0.03</v>
      </c>
      <c r="K16" s="7">
        <v>-0.04</v>
      </c>
      <c r="L16" s="7">
        <v>-0.05</v>
      </c>
      <c r="M16" s="7">
        <v>-0.04</v>
      </c>
      <c r="N16" s="7">
        <v>-0.02</v>
      </c>
      <c r="O16" s="7">
        <v>0.04</v>
      </c>
      <c r="P16" s="7">
        <v>0.1</v>
      </c>
      <c r="Q16" s="7">
        <v>0.15</v>
      </c>
      <c r="R16" s="7">
        <v>0.2</v>
      </c>
      <c r="S16" s="7">
        <v>0.24</v>
      </c>
      <c r="U16" s="4" t="s">
        <v>13</v>
      </c>
      <c r="W16" s="9" cm="1">
        <f t="array" ref="W16">_xlfn.XLOOKUP(W8&amp;"|"&amp;W9&amp;"|"&amp;W10, B14:B17&amp;"|"&amp;C14:C17&amp;"|"&amp;D14:D17, _xlfn.XLOOKUP(W13, E13:S13, E14:S17, , -1), , 0)</f>
        <v>0.06</v>
      </c>
    </row>
    <row r="17" spans="2:19" x14ac:dyDescent="0.35">
      <c r="B17" s="6">
        <v>2</v>
      </c>
      <c r="C17" s="6">
        <v>0.5</v>
      </c>
      <c r="D17" s="6">
        <v>1</v>
      </c>
      <c r="E17" s="7">
        <v>27.4</v>
      </c>
      <c r="F17" s="7">
        <v>5.2</v>
      </c>
      <c r="G17" s="7">
        <v>1.7</v>
      </c>
      <c r="H17" s="7">
        <v>0.7</v>
      </c>
      <c r="I17" s="7">
        <v>0.3</v>
      </c>
      <c r="J17" s="7">
        <v>0.15</v>
      </c>
      <c r="K17" s="7">
        <v>0.08</v>
      </c>
      <c r="L17" s="7">
        <v>0.06</v>
      </c>
      <c r="M17" s="7">
        <v>0.06</v>
      </c>
      <c r="N17" s="7">
        <v>7.0000000000000007E-2</v>
      </c>
      <c r="O17" s="7">
        <v>0.1</v>
      </c>
      <c r="P17" s="7">
        <v>0.13</v>
      </c>
      <c r="Q17" s="7">
        <v>0.16</v>
      </c>
      <c r="R17" s="7">
        <v>0.19</v>
      </c>
      <c r="S17" s="7">
        <v>0.21</v>
      </c>
    </row>
  </sheetData>
  <mergeCells count="3">
    <mergeCell ref="U4:W4"/>
    <mergeCell ref="E12:S12"/>
    <mergeCell ref="E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Kruemmerabzweig_Komplett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Özgöller</cp:lastModifiedBy>
  <dcterms:created xsi:type="dcterms:W3CDTF">2026-07-20T16:33:26Z</dcterms:created>
  <dcterms:modified xsi:type="dcterms:W3CDTF">2026-07-20T18:57:35Z</dcterms:modified>
</cp:coreProperties>
</file>